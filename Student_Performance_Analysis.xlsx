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ew Owner\Desktop\student-performance-analysis\excel\"/>
    </mc:Choice>
  </mc:AlternateContent>
  <xr:revisionPtr revIDLastSave="0" documentId="13_ncr:1_{0251F538-1E37-4ABD-88E3-FED090EF41A5}" xr6:coauthVersionLast="36" xr6:coauthVersionMax="36" xr10:uidLastSave="{00000000-0000-0000-0000-000000000000}"/>
  <bookViews>
    <workbookView xWindow="0" yWindow="0" windowWidth="16380" windowHeight="8196" tabRatio="500" firstSheet="4" activeTab="6" xr2:uid="{00000000-000D-0000-FFFF-FFFF00000000}"/>
  </bookViews>
  <sheets>
    <sheet name="Insights" sheetId="2" r:id="rId1"/>
    <sheet name="Dashboard" sheetId="1" r:id="rId2"/>
    <sheet name="Analysis" sheetId="3" r:id="rId3"/>
    <sheet name="Top_Bottom" sheetId="4" r:id="rId4"/>
    <sheet name="Data" sheetId="5" r:id="rId5"/>
    <sheet name="Settings" sheetId="6" r:id="rId6"/>
    <sheet name="Data_Dictionary" sheetId="7" r:id="rId7"/>
  </sheets>
  <definedNames>
    <definedName name="_xlnm._FilterDatabase" localSheetId="4" hidden="1">Data!$A$1:$T$301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" i="1" l="1"/>
  <c r="R301" i="5"/>
  <c r="Q301" i="5"/>
  <c r="N301" i="5"/>
  <c r="R300" i="5"/>
  <c r="Q300" i="5"/>
  <c r="N300" i="5"/>
  <c r="S300" i="5" s="1"/>
  <c r="S299" i="5"/>
  <c r="R299" i="5"/>
  <c r="Q299" i="5"/>
  <c r="P299" i="5"/>
  <c r="O299" i="5"/>
  <c r="N299" i="5"/>
  <c r="S298" i="5"/>
  <c r="R298" i="5"/>
  <c r="Q298" i="5"/>
  <c r="O298" i="5"/>
  <c r="N298" i="5"/>
  <c r="R297" i="5"/>
  <c r="Q297" i="5"/>
  <c r="O297" i="5"/>
  <c r="N297" i="5"/>
  <c r="R296" i="5"/>
  <c r="Q296" i="5"/>
  <c r="N296" i="5"/>
  <c r="S295" i="5"/>
  <c r="R295" i="5"/>
  <c r="Q295" i="5"/>
  <c r="P295" i="5"/>
  <c r="O295" i="5"/>
  <c r="N295" i="5"/>
  <c r="S294" i="5"/>
  <c r="R294" i="5"/>
  <c r="Q294" i="5"/>
  <c r="P294" i="5"/>
  <c r="O294" i="5"/>
  <c r="N294" i="5"/>
  <c r="R293" i="5"/>
  <c r="Q293" i="5"/>
  <c r="O293" i="5"/>
  <c r="N293" i="5"/>
  <c r="R292" i="5"/>
  <c r="Q292" i="5"/>
  <c r="N292" i="5"/>
  <c r="S291" i="5"/>
  <c r="R291" i="5"/>
  <c r="Q291" i="5"/>
  <c r="P291" i="5"/>
  <c r="O291" i="5"/>
  <c r="N291" i="5"/>
  <c r="R290" i="5"/>
  <c r="Q290" i="5"/>
  <c r="O290" i="5"/>
  <c r="N290" i="5"/>
  <c r="R289" i="5"/>
  <c r="Q289" i="5"/>
  <c r="O289" i="5"/>
  <c r="N289" i="5"/>
  <c r="R288" i="5"/>
  <c r="Q288" i="5"/>
  <c r="N288" i="5"/>
  <c r="S287" i="5"/>
  <c r="R287" i="5"/>
  <c r="Q287" i="5"/>
  <c r="P287" i="5"/>
  <c r="O287" i="5"/>
  <c r="N287" i="5"/>
  <c r="S286" i="5"/>
  <c r="R286" i="5"/>
  <c r="Q286" i="5"/>
  <c r="P286" i="5"/>
  <c r="O286" i="5"/>
  <c r="N286" i="5"/>
  <c r="R285" i="5"/>
  <c r="Q285" i="5"/>
  <c r="O285" i="5"/>
  <c r="N285" i="5"/>
  <c r="R284" i="5"/>
  <c r="Q284" i="5"/>
  <c r="N284" i="5"/>
  <c r="S283" i="5"/>
  <c r="R283" i="5"/>
  <c r="Q283" i="5"/>
  <c r="P283" i="5"/>
  <c r="O283" i="5"/>
  <c r="N283" i="5"/>
  <c r="R282" i="5"/>
  <c r="Q282" i="5"/>
  <c r="N282" i="5"/>
  <c r="S282" i="5" s="1"/>
  <c r="R281" i="5"/>
  <c r="Q281" i="5"/>
  <c r="O281" i="5"/>
  <c r="N281" i="5"/>
  <c r="R280" i="5"/>
  <c r="Q280" i="5"/>
  <c r="N280" i="5"/>
  <c r="S279" i="5"/>
  <c r="R279" i="5"/>
  <c r="Q279" i="5"/>
  <c r="P279" i="5"/>
  <c r="O279" i="5"/>
  <c r="N279" i="5"/>
  <c r="S278" i="5"/>
  <c r="R278" i="5"/>
  <c r="Q278" i="5"/>
  <c r="P278" i="5"/>
  <c r="O278" i="5"/>
  <c r="N278" i="5"/>
  <c r="R277" i="5"/>
  <c r="Q277" i="5"/>
  <c r="O277" i="5"/>
  <c r="N277" i="5"/>
  <c r="R276" i="5"/>
  <c r="Q276" i="5"/>
  <c r="N276" i="5"/>
  <c r="S275" i="5"/>
  <c r="R275" i="5"/>
  <c r="Q275" i="5"/>
  <c r="P275" i="5"/>
  <c r="O275" i="5"/>
  <c r="N275" i="5"/>
  <c r="R274" i="5"/>
  <c r="Q274" i="5"/>
  <c r="O274" i="5"/>
  <c r="N274" i="5"/>
  <c r="R273" i="5"/>
  <c r="Q273" i="5"/>
  <c r="O273" i="5"/>
  <c r="N273" i="5"/>
  <c r="R272" i="5"/>
  <c r="Q272" i="5"/>
  <c r="N272" i="5"/>
  <c r="S271" i="5"/>
  <c r="R271" i="5"/>
  <c r="Q271" i="5"/>
  <c r="P271" i="5"/>
  <c r="O271" i="5"/>
  <c r="N271" i="5"/>
  <c r="S270" i="5"/>
  <c r="R270" i="5"/>
  <c r="Q270" i="5"/>
  <c r="P270" i="5"/>
  <c r="O270" i="5"/>
  <c r="N270" i="5"/>
  <c r="R269" i="5"/>
  <c r="Q269" i="5"/>
  <c r="O269" i="5"/>
  <c r="N269" i="5"/>
  <c r="R268" i="5"/>
  <c r="Q268" i="5"/>
  <c r="N268" i="5"/>
  <c r="S267" i="5"/>
  <c r="R267" i="5"/>
  <c r="Q267" i="5"/>
  <c r="P267" i="5"/>
  <c r="O267" i="5"/>
  <c r="N267" i="5"/>
  <c r="R266" i="5"/>
  <c r="Q266" i="5"/>
  <c r="N266" i="5"/>
  <c r="R265" i="5"/>
  <c r="Q265" i="5"/>
  <c r="O265" i="5"/>
  <c r="N265" i="5"/>
  <c r="R264" i="5"/>
  <c r="Q264" i="5"/>
  <c r="N264" i="5"/>
  <c r="S263" i="5"/>
  <c r="R263" i="5"/>
  <c r="Q263" i="5"/>
  <c r="P263" i="5"/>
  <c r="O263" i="5"/>
  <c r="N263" i="5"/>
  <c r="S262" i="5"/>
  <c r="R262" i="5"/>
  <c r="Q262" i="5"/>
  <c r="P262" i="5"/>
  <c r="O262" i="5"/>
  <c r="N262" i="5"/>
  <c r="R261" i="5"/>
  <c r="Q261" i="5"/>
  <c r="O261" i="5"/>
  <c r="N261" i="5"/>
  <c r="R260" i="5"/>
  <c r="Q260" i="5"/>
  <c r="N260" i="5"/>
  <c r="S259" i="5"/>
  <c r="R259" i="5"/>
  <c r="Q259" i="5"/>
  <c r="P259" i="5"/>
  <c r="O259" i="5"/>
  <c r="N259" i="5"/>
  <c r="R258" i="5"/>
  <c r="Q258" i="5"/>
  <c r="N258" i="5"/>
  <c r="R257" i="5"/>
  <c r="Q257" i="5"/>
  <c r="O257" i="5"/>
  <c r="N257" i="5"/>
  <c r="R256" i="5"/>
  <c r="Q256" i="5"/>
  <c r="N256" i="5"/>
  <c r="S255" i="5"/>
  <c r="R255" i="5"/>
  <c r="Q255" i="5"/>
  <c r="P255" i="5"/>
  <c r="O255" i="5"/>
  <c r="N255" i="5"/>
  <c r="S254" i="5"/>
  <c r="R254" i="5"/>
  <c r="Q254" i="5"/>
  <c r="P254" i="5"/>
  <c r="O254" i="5"/>
  <c r="N254" i="5"/>
  <c r="R253" i="5"/>
  <c r="Q253" i="5"/>
  <c r="O253" i="5"/>
  <c r="N253" i="5"/>
  <c r="R252" i="5"/>
  <c r="Q252" i="5"/>
  <c r="N252" i="5"/>
  <c r="S251" i="5"/>
  <c r="R251" i="5"/>
  <c r="Q251" i="5"/>
  <c r="P251" i="5"/>
  <c r="O251" i="5"/>
  <c r="N251" i="5"/>
  <c r="S250" i="5"/>
  <c r="R250" i="5"/>
  <c r="Q250" i="5"/>
  <c r="N250" i="5"/>
  <c r="R249" i="5"/>
  <c r="Q249" i="5"/>
  <c r="O249" i="5"/>
  <c r="N249" i="5"/>
  <c r="R248" i="5"/>
  <c r="Q248" i="5"/>
  <c r="N248" i="5"/>
  <c r="S247" i="5"/>
  <c r="R247" i="5"/>
  <c r="Q247" i="5"/>
  <c r="P247" i="5"/>
  <c r="O247" i="5"/>
  <c r="N247" i="5"/>
  <c r="S246" i="5"/>
  <c r="R246" i="5"/>
  <c r="Q246" i="5"/>
  <c r="P246" i="5"/>
  <c r="O246" i="5"/>
  <c r="N246" i="5"/>
  <c r="R245" i="5"/>
  <c r="Q245" i="5"/>
  <c r="O245" i="5"/>
  <c r="N245" i="5"/>
  <c r="R244" i="5"/>
  <c r="Q244" i="5"/>
  <c r="N244" i="5"/>
  <c r="S243" i="5"/>
  <c r="R243" i="5"/>
  <c r="Q243" i="5"/>
  <c r="P243" i="5"/>
  <c r="O243" i="5"/>
  <c r="N243" i="5"/>
  <c r="S242" i="5"/>
  <c r="R242" i="5"/>
  <c r="Q242" i="5"/>
  <c r="N242" i="5"/>
  <c r="R241" i="5"/>
  <c r="Q241" i="5"/>
  <c r="O241" i="5"/>
  <c r="N241" i="5"/>
  <c r="R240" i="5"/>
  <c r="Q240" i="5"/>
  <c r="N240" i="5"/>
  <c r="S239" i="5"/>
  <c r="R239" i="5"/>
  <c r="Q239" i="5"/>
  <c r="P239" i="5"/>
  <c r="O239" i="5"/>
  <c r="N239" i="5"/>
  <c r="S238" i="5"/>
  <c r="R238" i="5"/>
  <c r="Q238" i="5"/>
  <c r="P238" i="5"/>
  <c r="O238" i="5"/>
  <c r="N238" i="5"/>
  <c r="R237" i="5"/>
  <c r="Q237" i="5"/>
  <c r="O237" i="5"/>
  <c r="N237" i="5"/>
  <c r="R236" i="5"/>
  <c r="Q236" i="5"/>
  <c r="N236" i="5"/>
  <c r="S235" i="5"/>
  <c r="R235" i="5"/>
  <c r="Q235" i="5"/>
  <c r="P235" i="5"/>
  <c r="O235" i="5"/>
  <c r="N235" i="5"/>
  <c r="S234" i="5"/>
  <c r="R234" i="5"/>
  <c r="Q234" i="5"/>
  <c r="N234" i="5"/>
  <c r="R233" i="5"/>
  <c r="Q233" i="5"/>
  <c r="O233" i="5"/>
  <c r="N233" i="5"/>
  <c r="R232" i="5"/>
  <c r="Q232" i="5"/>
  <c r="N232" i="5"/>
  <c r="S231" i="5"/>
  <c r="R231" i="5"/>
  <c r="Q231" i="5"/>
  <c r="P231" i="5"/>
  <c r="O231" i="5"/>
  <c r="N231" i="5"/>
  <c r="S230" i="5"/>
  <c r="R230" i="5"/>
  <c r="Q230" i="5"/>
  <c r="P230" i="5"/>
  <c r="O230" i="5"/>
  <c r="N230" i="5"/>
  <c r="R229" i="5"/>
  <c r="Q229" i="5"/>
  <c r="O229" i="5"/>
  <c r="N229" i="5"/>
  <c r="R228" i="5"/>
  <c r="Q228" i="5"/>
  <c r="N228" i="5"/>
  <c r="S227" i="5"/>
  <c r="R227" i="5"/>
  <c r="Q227" i="5"/>
  <c r="P227" i="5"/>
  <c r="O227" i="5"/>
  <c r="N227" i="5"/>
  <c r="R226" i="5"/>
  <c r="Q226" i="5"/>
  <c r="O226" i="5"/>
  <c r="N226" i="5"/>
  <c r="R225" i="5"/>
  <c r="Q225" i="5"/>
  <c r="O225" i="5"/>
  <c r="N225" i="5"/>
  <c r="R224" i="5"/>
  <c r="Q224" i="5"/>
  <c r="N224" i="5"/>
  <c r="S223" i="5"/>
  <c r="R223" i="5"/>
  <c r="Q223" i="5"/>
  <c r="P223" i="5"/>
  <c r="O223" i="5"/>
  <c r="N223" i="5"/>
  <c r="S222" i="5"/>
  <c r="R222" i="5"/>
  <c r="Q222" i="5"/>
  <c r="P222" i="5"/>
  <c r="O222" i="5"/>
  <c r="N222" i="5"/>
  <c r="R221" i="5"/>
  <c r="Q221" i="5"/>
  <c r="O221" i="5"/>
  <c r="N221" i="5"/>
  <c r="R220" i="5"/>
  <c r="Q220" i="5"/>
  <c r="N220" i="5"/>
  <c r="S219" i="5"/>
  <c r="R219" i="5"/>
  <c r="Q219" i="5"/>
  <c r="P219" i="5"/>
  <c r="O219" i="5"/>
  <c r="N219" i="5"/>
  <c r="R218" i="5"/>
  <c r="Q218" i="5"/>
  <c r="N218" i="5"/>
  <c r="R217" i="5"/>
  <c r="Q217" i="5"/>
  <c r="N217" i="5"/>
  <c r="S216" i="5"/>
  <c r="R216" i="5"/>
  <c r="Q216" i="5"/>
  <c r="P216" i="5"/>
  <c r="O216" i="5"/>
  <c r="N216" i="5"/>
  <c r="S215" i="5"/>
  <c r="R215" i="5"/>
  <c r="Q215" i="5"/>
  <c r="P215" i="5"/>
  <c r="O215" i="5"/>
  <c r="N215" i="5"/>
  <c r="R214" i="5"/>
  <c r="Q214" i="5"/>
  <c r="N214" i="5"/>
  <c r="R213" i="5"/>
  <c r="Q213" i="5"/>
  <c r="P213" i="5"/>
  <c r="N213" i="5"/>
  <c r="S212" i="5"/>
  <c r="R212" i="5"/>
  <c r="Q212" i="5"/>
  <c r="P212" i="5"/>
  <c r="O212" i="5"/>
  <c r="N212" i="5"/>
  <c r="S211" i="5"/>
  <c r="R211" i="5"/>
  <c r="Q211" i="5"/>
  <c r="P211" i="5"/>
  <c r="O211" i="5"/>
  <c r="N211" i="5"/>
  <c r="S210" i="5"/>
  <c r="R210" i="5"/>
  <c r="Q210" i="5"/>
  <c r="N210" i="5"/>
  <c r="R209" i="5"/>
  <c r="Q209" i="5"/>
  <c r="N209" i="5"/>
  <c r="S208" i="5"/>
  <c r="R208" i="5"/>
  <c r="Q208" i="5"/>
  <c r="P208" i="5"/>
  <c r="O208" i="5"/>
  <c r="N208" i="5"/>
  <c r="S207" i="5"/>
  <c r="R207" i="5"/>
  <c r="Q207" i="5"/>
  <c r="P207" i="5"/>
  <c r="O207" i="5"/>
  <c r="N207" i="5"/>
  <c r="R206" i="5"/>
  <c r="Q206" i="5"/>
  <c r="N206" i="5"/>
  <c r="R205" i="5"/>
  <c r="Q205" i="5"/>
  <c r="P205" i="5"/>
  <c r="N205" i="5"/>
  <c r="S204" i="5"/>
  <c r="R204" i="5"/>
  <c r="Q204" i="5"/>
  <c r="P204" i="5"/>
  <c r="O204" i="5"/>
  <c r="N204" i="5"/>
  <c r="S203" i="5"/>
  <c r="R203" i="5"/>
  <c r="Q203" i="5"/>
  <c r="P203" i="5"/>
  <c r="O203" i="5"/>
  <c r="N203" i="5"/>
  <c r="S202" i="5"/>
  <c r="R202" i="5"/>
  <c r="Q202" i="5"/>
  <c r="N202" i="5"/>
  <c r="R201" i="5"/>
  <c r="Q201" i="5"/>
  <c r="N201" i="5"/>
  <c r="S200" i="5"/>
  <c r="R200" i="5"/>
  <c r="Q200" i="5"/>
  <c r="P200" i="5"/>
  <c r="O200" i="5"/>
  <c r="N200" i="5"/>
  <c r="S199" i="5"/>
  <c r="R199" i="5"/>
  <c r="Q199" i="5"/>
  <c r="P199" i="5"/>
  <c r="O199" i="5"/>
  <c r="N199" i="5"/>
  <c r="R198" i="5"/>
  <c r="Q198" i="5"/>
  <c r="N198" i="5"/>
  <c r="R197" i="5"/>
  <c r="Q197" i="5"/>
  <c r="P197" i="5"/>
  <c r="N197" i="5"/>
  <c r="S196" i="5"/>
  <c r="R196" i="5"/>
  <c r="Q196" i="5"/>
  <c r="P196" i="5"/>
  <c r="O196" i="5"/>
  <c r="N196" i="5"/>
  <c r="S195" i="5"/>
  <c r="R195" i="5"/>
  <c r="Q195" i="5"/>
  <c r="P195" i="5"/>
  <c r="O195" i="5"/>
  <c r="N195" i="5"/>
  <c r="R194" i="5"/>
  <c r="Q194" i="5"/>
  <c r="N194" i="5"/>
  <c r="R193" i="5"/>
  <c r="Q193" i="5"/>
  <c r="P193" i="5"/>
  <c r="N193" i="5"/>
  <c r="S192" i="5"/>
  <c r="R192" i="5"/>
  <c r="Q192" i="5"/>
  <c r="P192" i="5"/>
  <c r="O192" i="5"/>
  <c r="N192" i="5"/>
  <c r="S191" i="5"/>
  <c r="R191" i="5"/>
  <c r="Q191" i="5"/>
  <c r="P191" i="5"/>
  <c r="O191" i="5"/>
  <c r="N191" i="5"/>
  <c r="R190" i="5"/>
  <c r="Q190" i="5"/>
  <c r="N190" i="5"/>
  <c r="R189" i="5"/>
  <c r="Q189" i="5"/>
  <c r="P189" i="5"/>
  <c r="N189" i="5"/>
  <c r="S188" i="5"/>
  <c r="R188" i="5"/>
  <c r="Q188" i="5"/>
  <c r="P188" i="5"/>
  <c r="O188" i="5"/>
  <c r="N188" i="5"/>
  <c r="S187" i="5"/>
  <c r="R187" i="5"/>
  <c r="Q187" i="5"/>
  <c r="P187" i="5"/>
  <c r="O187" i="5"/>
  <c r="N187" i="5"/>
  <c r="S186" i="5"/>
  <c r="R186" i="5"/>
  <c r="Q186" i="5"/>
  <c r="N186" i="5"/>
  <c r="R185" i="5"/>
  <c r="Q185" i="5"/>
  <c r="N185" i="5"/>
  <c r="S184" i="5"/>
  <c r="R184" i="5"/>
  <c r="Q184" i="5"/>
  <c r="P184" i="5"/>
  <c r="O184" i="5"/>
  <c r="N184" i="5"/>
  <c r="S183" i="5"/>
  <c r="R183" i="5"/>
  <c r="Q183" i="5"/>
  <c r="P183" i="5"/>
  <c r="O183" i="5"/>
  <c r="N183" i="5"/>
  <c r="R182" i="5"/>
  <c r="Q182" i="5"/>
  <c r="N182" i="5"/>
  <c r="R181" i="5"/>
  <c r="Q181" i="5"/>
  <c r="P181" i="5"/>
  <c r="N181" i="5"/>
  <c r="S180" i="5"/>
  <c r="R180" i="5"/>
  <c r="Q180" i="5"/>
  <c r="P180" i="5"/>
  <c r="O180" i="5"/>
  <c r="N180" i="5"/>
  <c r="S179" i="5"/>
  <c r="R179" i="5"/>
  <c r="Q179" i="5"/>
  <c r="P179" i="5"/>
  <c r="O179" i="5"/>
  <c r="N179" i="5"/>
  <c r="R178" i="5"/>
  <c r="Q178" i="5"/>
  <c r="N178" i="5"/>
  <c r="R177" i="5"/>
  <c r="Q177" i="5"/>
  <c r="P177" i="5"/>
  <c r="N177" i="5"/>
  <c r="S176" i="5"/>
  <c r="R176" i="5"/>
  <c r="Q176" i="5"/>
  <c r="P176" i="5"/>
  <c r="O176" i="5"/>
  <c r="N176" i="5"/>
  <c r="S175" i="5"/>
  <c r="R175" i="5"/>
  <c r="Q175" i="5"/>
  <c r="P175" i="5"/>
  <c r="O175" i="5"/>
  <c r="N175" i="5"/>
  <c r="S174" i="5"/>
  <c r="R174" i="5"/>
  <c r="Q174" i="5"/>
  <c r="N174" i="5"/>
  <c r="R173" i="5"/>
  <c r="Q173" i="5"/>
  <c r="N173" i="5"/>
  <c r="S172" i="5"/>
  <c r="R172" i="5"/>
  <c r="Q172" i="5"/>
  <c r="P172" i="5"/>
  <c r="O172" i="5"/>
  <c r="N172" i="5"/>
  <c r="S171" i="5"/>
  <c r="R171" i="5"/>
  <c r="Q171" i="5"/>
  <c r="P171" i="5"/>
  <c r="O171" i="5"/>
  <c r="N171" i="5"/>
  <c r="S170" i="5"/>
  <c r="R170" i="5"/>
  <c r="Q170" i="5"/>
  <c r="N170" i="5"/>
  <c r="R169" i="5"/>
  <c r="Q169" i="5"/>
  <c r="N169" i="5"/>
  <c r="S168" i="5"/>
  <c r="R168" i="5"/>
  <c r="Q168" i="5"/>
  <c r="P168" i="5"/>
  <c r="O168" i="5"/>
  <c r="N168" i="5"/>
  <c r="S167" i="5"/>
  <c r="R167" i="5"/>
  <c r="Q167" i="5"/>
  <c r="P167" i="5"/>
  <c r="O167" i="5"/>
  <c r="N167" i="5"/>
  <c r="R166" i="5"/>
  <c r="Q166" i="5"/>
  <c r="N166" i="5"/>
  <c r="R165" i="5"/>
  <c r="Q165" i="5"/>
  <c r="P165" i="5"/>
  <c r="N165" i="5"/>
  <c r="S164" i="5"/>
  <c r="R164" i="5"/>
  <c r="Q164" i="5"/>
  <c r="P164" i="5"/>
  <c r="O164" i="5"/>
  <c r="N164" i="5"/>
  <c r="S163" i="5"/>
  <c r="R163" i="5"/>
  <c r="Q163" i="5"/>
  <c r="P163" i="5"/>
  <c r="O163" i="5"/>
  <c r="N163" i="5"/>
  <c r="R162" i="5"/>
  <c r="Q162" i="5"/>
  <c r="N162" i="5"/>
  <c r="R161" i="5"/>
  <c r="Q161" i="5"/>
  <c r="P161" i="5"/>
  <c r="N161" i="5"/>
  <c r="S160" i="5"/>
  <c r="R160" i="5"/>
  <c r="Q160" i="5"/>
  <c r="P160" i="5"/>
  <c r="O160" i="5"/>
  <c r="N160" i="5"/>
  <c r="S159" i="5"/>
  <c r="R159" i="5"/>
  <c r="Q159" i="5"/>
  <c r="P159" i="5"/>
  <c r="O159" i="5"/>
  <c r="N159" i="5"/>
  <c r="R158" i="5"/>
  <c r="Q158" i="5"/>
  <c r="N158" i="5"/>
  <c r="R157" i="5"/>
  <c r="Q157" i="5"/>
  <c r="P157" i="5"/>
  <c r="N157" i="5"/>
  <c r="S156" i="5"/>
  <c r="R156" i="5"/>
  <c r="Q156" i="5"/>
  <c r="P156" i="5"/>
  <c r="O156" i="5"/>
  <c r="N156" i="5"/>
  <c r="S155" i="5"/>
  <c r="R155" i="5"/>
  <c r="Q155" i="5"/>
  <c r="P155" i="5"/>
  <c r="O155" i="5"/>
  <c r="N155" i="5"/>
  <c r="S154" i="5"/>
  <c r="R154" i="5"/>
  <c r="Q154" i="5"/>
  <c r="N154" i="5"/>
  <c r="R153" i="5"/>
  <c r="Q153" i="5"/>
  <c r="N153" i="5"/>
  <c r="S152" i="5"/>
  <c r="R152" i="5"/>
  <c r="Q152" i="5"/>
  <c r="P152" i="5"/>
  <c r="O152" i="5"/>
  <c r="N152" i="5"/>
  <c r="S151" i="5"/>
  <c r="R151" i="5"/>
  <c r="Q151" i="5"/>
  <c r="P151" i="5"/>
  <c r="O151" i="5"/>
  <c r="N151" i="5"/>
  <c r="R150" i="5"/>
  <c r="Q150" i="5"/>
  <c r="N150" i="5"/>
  <c r="R149" i="5"/>
  <c r="Q149" i="5"/>
  <c r="P149" i="5"/>
  <c r="N149" i="5"/>
  <c r="S148" i="5"/>
  <c r="R148" i="5"/>
  <c r="Q148" i="5"/>
  <c r="P148" i="5"/>
  <c r="O148" i="5"/>
  <c r="N148" i="5"/>
  <c r="S147" i="5"/>
  <c r="R147" i="5"/>
  <c r="Q147" i="5"/>
  <c r="P147" i="5"/>
  <c r="O147" i="5"/>
  <c r="N147" i="5"/>
  <c r="S146" i="5"/>
  <c r="R146" i="5"/>
  <c r="Q146" i="5"/>
  <c r="N146" i="5"/>
  <c r="R145" i="5"/>
  <c r="Q145" i="5"/>
  <c r="N145" i="5"/>
  <c r="S144" i="5"/>
  <c r="R144" i="5"/>
  <c r="Q144" i="5"/>
  <c r="P144" i="5"/>
  <c r="O144" i="5"/>
  <c r="N144" i="5"/>
  <c r="S143" i="5"/>
  <c r="R143" i="5"/>
  <c r="Q143" i="5"/>
  <c r="P143" i="5"/>
  <c r="O143" i="5"/>
  <c r="N143" i="5"/>
  <c r="S142" i="5"/>
  <c r="R142" i="5"/>
  <c r="Q142" i="5"/>
  <c r="N142" i="5"/>
  <c r="R141" i="5"/>
  <c r="Q141" i="5"/>
  <c r="N141" i="5"/>
  <c r="S140" i="5"/>
  <c r="R140" i="5"/>
  <c r="Q140" i="5"/>
  <c r="P140" i="5"/>
  <c r="O140" i="5"/>
  <c r="N140" i="5"/>
  <c r="S139" i="5"/>
  <c r="R139" i="5"/>
  <c r="Q139" i="5"/>
  <c r="P139" i="5"/>
  <c r="O139" i="5"/>
  <c r="N139" i="5"/>
  <c r="S138" i="5"/>
  <c r="R138" i="5"/>
  <c r="Q138" i="5"/>
  <c r="N138" i="5"/>
  <c r="R137" i="5"/>
  <c r="Q137" i="5"/>
  <c r="N137" i="5"/>
  <c r="S136" i="5"/>
  <c r="R136" i="5"/>
  <c r="Q136" i="5"/>
  <c r="P136" i="5"/>
  <c r="O136" i="5"/>
  <c r="N136" i="5"/>
  <c r="S135" i="5"/>
  <c r="R135" i="5"/>
  <c r="Q135" i="5"/>
  <c r="P135" i="5"/>
  <c r="O135" i="5"/>
  <c r="N135" i="5"/>
  <c r="R134" i="5"/>
  <c r="Q134" i="5"/>
  <c r="N134" i="5"/>
  <c r="R133" i="5"/>
  <c r="Q133" i="5"/>
  <c r="P133" i="5"/>
  <c r="N133" i="5"/>
  <c r="S132" i="5"/>
  <c r="R132" i="5"/>
  <c r="Q132" i="5"/>
  <c r="P132" i="5"/>
  <c r="O132" i="5"/>
  <c r="N132" i="5"/>
  <c r="S131" i="5"/>
  <c r="R131" i="5"/>
  <c r="Q131" i="5"/>
  <c r="P131" i="5"/>
  <c r="O131" i="5"/>
  <c r="N131" i="5"/>
  <c r="R130" i="5"/>
  <c r="Q130" i="5"/>
  <c r="N130" i="5"/>
  <c r="R129" i="5"/>
  <c r="Q129" i="5"/>
  <c r="P129" i="5"/>
  <c r="N129" i="5"/>
  <c r="S128" i="5"/>
  <c r="R128" i="5"/>
  <c r="Q128" i="5"/>
  <c r="P128" i="5"/>
  <c r="O128" i="5"/>
  <c r="N128" i="5"/>
  <c r="S127" i="5"/>
  <c r="R127" i="5"/>
  <c r="Q127" i="5"/>
  <c r="P127" i="5"/>
  <c r="O127" i="5"/>
  <c r="N127" i="5"/>
  <c r="S126" i="5"/>
  <c r="R126" i="5"/>
  <c r="Q126" i="5"/>
  <c r="N126" i="5"/>
  <c r="R125" i="5"/>
  <c r="Q125" i="5"/>
  <c r="N125" i="5"/>
  <c r="S124" i="5"/>
  <c r="R124" i="5"/>
  <c r="Q124" i="5"/>
  <c r="P124" i="5"/>
  <c r="O124" i="5"/>
  <c r="N124" i="5"/>
  <c r="S123" i="5"/>
  <c r="R123" i="5"/>
  <c r="Q123" i="5"/>
  <c r="P123" i="5"/>
  <c r="O123" i="5"/>
  <c r="N123" i="5"/>
  <c r="S122" i="5"/>
  <c r="R122" i="5"/>
  <c r="Q122" i="5"/>
  <c r="N122" i="5"/>
  <c r="R121" i="5"/>
  <c r="Q121" i="5"/>
  <c r="N121" i="5"/>
  <c r="S120" i="5"/>
  <c r="R120" i="5"/>
  <c r="Q120" i="5"/>
  <c r="P120" i="5"/>
  <c r="O120" i="5"/>
  <c r="N120" i="5"/>
  <c r="S119" i="5"/>
  <c r="R119" i="5"/>
  <c r="Q119" i="5"/>
  <c r="P119" i="5"/>
  <c r="O119" i="5"/>
  <c r="N119" i="5"/>
  <c r="R118" i="5"/>
  <c r="Q118" i="5"/>
  <c r="N118" i="5"/>
  <c r="R117" i="5"/>
  <c r="Q117" i="5"/>
  <c r="P117" i="5"/>
  <c r="N117" i="5"/>
  <c r="S116" i="5"/>
  <c r="R116" i="5"/>
  <c r="Q116" i="5"/>
  <c r="P116" i="5"/>
  <c r="O116" i="5"/>
  <c r="N116" i="5"/>
  <c r="S115" i="5"/>
  <c r="R115" i="5"/>
  <c r="Q115" i="5"/>
  <c r="P115" i="5"/>
  <c r="O115" i="5"/>
  <c r="N115" i="5"/>
  <c r="S114" i="5"/>
  <c r="R114" i="5"/>
  <c r="Q114" i="5"/>
  <c r="N114" i="5"/>
  <c r="R113" i="5"/>
  <c r="Q113" i="5"/>
  <c r="N113" i="5"/>
  <c r="T113" i="5" s="1"/>
  <c r="S112" i="5"/>
  <c r="R112" i="5"/>
  <c r="Q112" i="5"/>
  <c r="P112" i="5"/>
  <c r="O112" i="5"/>
  <c r="N112" i="5"/>
  <c r="S111" i="5"/>
  <c r="R111" i="5"/>
  <c r="Q111" i="5"/>
  <c r="P111" i="5"/>
  <c r="O111" i="5"/>
  <c r="N111" i="5"/>
  <c r="S110" i="5"/>
  <c r="R110" i="5"/>
  <c r="Q110" i="5"/>
  <c r="N110" i="5"/>
  <c r="R109" i="5"/>
  <c r="Q109" i="5"/>
  <c r="N109" i="5"/>
  <c r="S108" i="5"/>
  <c r="R108" i="5"/>
  <c r="Q108" i="5"/>
  <c r="P108" i="5"/>
  <c r="O108" i="5"/>
  <c r="N108" i="5"/>
  <c r="S107" i="5"/>
  <c r="R107" i="5"/>
  <c r="Q107" i="5"/>
  <c r="P107" i="5"/>
  <c r="O107" i="5"/>
  <c r="N107" i="5"/>
  <c r="S106" i="5"/>
  <c r="R106" i="5"/>
  <c r="Q106" i="5"/>
  <c r="N106" i="5"/>
  <c r="R105" i="5"/>
  <c r="Q105" i="5"/>
  <c r="N105" i="5"/>
  <c r="S104" i="5"/>
  <c r="R104" i="5"/>
  <c r="Q104" i="5"/>
  <c r="P104" i="5"/>
  <c r="O104" i="5"/>
  <c r="N104" i="5"/>
  <c r="S103" i="5"/>
  <c r="R103" i="5"/>
  <c r="Q103" i="5"/>
  <c r="P103" i="5"/>
  <c r="O103" i="5"/>
  <c r="N103" i="5"/>
  <c r="R102" i="5"/>
  <c r="Q102" i="5"/>
  <c r="N102" i="5"/>
  <c r="R101" i="5"/>
  <c r="Q101" i="5"/>
  <c r="P101" i="5"/>
  <c r="N101" i="5"/>
  <c r="S100" i="5"/>
  <c r="R100" i="5"/>
  <c r="Q100" i="5"/>
  <c r="P100" i="5"/>
  <c r="O100" i="5"/>
  <c r="N100" i="5"/>
  <c r="S99" i="5"/>
  <c r="R99" i="5"/>
  <c r="Q99" i="5"/>
  <c r="P99" i="5"/>
  <c r="O99" i="5"/>
  <c r="N99" i="5"/>
  <c r="S98" i="5"/>
  <c r="R98" i="5"/>
  <c r="Q98" i="5"/>
  <c r="N98" i="5"/>
  <c r="R97" i="5"/>
  <c r="Q97" i="5"/>
  <c r="N97" i="5"/>
  <c r="S96" i="5"/>
  <c r="R96" i="5"/>
  <c r="Q96" i="5"/>
  <c r="P96" i="5"/>
  <c r="O96" i="5"/>
  <c r="N96" i="5"/>
  <c r="S95" i="5"/>
  <c r="R95" i="5"/>
  <c r="Q95" i="5"/>
  <c r="P95" i="5"/>
  <c r="O95" i="5"/>
  <c r="N95" i="5"/>
  <c r="R94" i="5"/>
  <c r="Q94" i="5"/>
  <c r="N94" i="5"/>
  <c r="S93" i="5"/>
  <c r="R93" i="5"/>
  <c r="Q93" i="5"/>
  <c r="P93" i="5"/>
  <c r="O93" i="5"/>
  <c r="N93" i="5"/>
  <c r="R92" i="5"/>
  <c r="Q92" i="5"/>
  <c r="N92" i="5"/>
  <c r="R91" i="5"/>
  <c r="Q91" i="5"/>
  <c r="O91" i="5"/>
  <c r="N91" i="5"/>
  <c r="R90" i="5"/>
  <c r="Q90" i="5"/>
  <c r="N90" i="5"/>
  <c r="S89" i="5"/>
  <c r="R89" i="5"/>
  <c r="Q89" i="5"/>
  <c r="P89" i="5"/>
  <c r="O89" i="5"/>
  <c r="N89" i="5"/>
  <c r="S88" i="5"/>
  <c r="R88" i="5"/>
  <c r="Q88" i="5"/>
  <c r="P88" i="5"/>
  <c r="O88" i="5"/>
  <c r="N88" i="5"/>
  <c r="R87" i="5"/>
  <c r="Q87" i="5"/>
  <c r="O87" i="5"/>
  <c r="N87" i="5"/>
  <c r="R86" i="5"/>
  <c r="Q86" i="5"/>
  <c r="N86" i="5"/>
  <c r="S85" i="5"/>
  <c r="R85" i="5"/>
  <c r="Q85" i="5"/>
  <c r="P85" i="5"/>
  <c r="O85" i="5"/>
  <c r="N85" i="5"/>
  <c r="R84" i="5"/>
  <c r="Q84" i="5"/>
  <c r="N84" i="5"/>
  <c r="R83" i="5"/>
  <c r="Q83" i="5"/>
  <c r="O83" i="5"/>
  <c r="N83" i="5"/>
  <c r="R82" i="5"/>
  <c r="Q82" i="5"/>
  <c r="N82" i="5"/>
  <c r="S81" i="5"/>
  <c r="R81" i="5"/>
  <c r="Q81" i="5"/>
  <c r="P81" i="5"/>
  <c r="O81" i="5"/>
  <c r="N81" i="5"/>
  <c r="S80" i="5"/>
  <c r="R80" i="5"/>
  <c r="Q80" i="5"/>
  <c r="P80" i="5"/>
  <c r="O80" i="5"/>
  <c r="N80" i="5"/>
  <c r="R79" i="5"/>
  <c r="Q79" i="5"/>
  <c r="O79" i="5"/>
  <c r="N79" i="5"/>
  <c r="R78" i="5"/>
  <c r="Q78" i="5"/>
  <c r="N78" i="5"/>
  <c r="S77" i="5"/>
  <c r="R77" i="5"/>
  <c r="Q77" i="5"/>
  <c r="P77" i="5"/>
  <c r="O77" i="5"/>
  <c r="N77" i="5"/>
  <c r="R76" i="5"/>
  <c r="Q76" i="5"/>
  <c r="N76" i="5"/>
  <c r="R75" i="5"/>
  <c r="Q75" i="5"/>
  <c r="O75" i="5"/>
  <c r="N75" i="5"/>
  <c r="R74" i="5"/>
  <c r="Q74" i="5"/>
  <c r="N74" i="5"/>
  <c r="S73" i="5"/>
  <c r="R73" i="5"/>
  <c r="Q73" i="5"/>
  <c r="P73" i="5"/>
  <c r="O73" i="5"/>
  <c r="N73" i="5"/>
  <c r="S72" i="5"/>
  <c r="R72" i="5"/>
  <c r="Q72" i="5"/>
  <c r="P72" i="5"/>
  <c r="O72" i="5"/>
  <c r="N72" i="5"/>
  <c r="R71" i="5"/>
  <c r="Q71" i="5"/>
  <c r="O71" i="5"/>
  <c r="N71" i="5"/>
  <c r="R70" i="5"/>
  <c r="Q70" i="5"/>
  <c r="N70" i="5"/>
  <c r="S69" i="5"/>
  <c r="R69" i="5"/>
  <c r="Q69" i="5"/>
  <c r="P69" i="5"/>
  <c r="O69" i="5"/>
  <c r="N69" i="5"/>
  <c r="R68" i="5"/>
  <c r="Q68" i="5"/>
  <c r="N68" i="5"/>
  <c r="R67" i="5"/>
  <c r="Q67" i="5"/>
  <c r="O67" i="5"/>
  <c r="N67" i="5"/>
  <c r="R66" i="5"/>
  <c r="Q66" i="5"/>
  <c r="N66" i="5"/>
  <c r="S65" i="5"/>
  <c r="R65" i="5"/>
  <c r="Q65" i="5"/>
  <c r="P65" i="5"/>
  <c r="O65" i="5"/>
  <c r="N65" i="5"/>
  <c r="S64" i="5"/>
  <c r="R64" i="5"/>
  <c r="Q64" i="5"/>
  <c r="P64" i="5"/>
  <c r="O64" i="5"/>
  <c r="N64" i="5"/>
  <c r="R63" i="5"/>
  <c r="Q63" i="5"/>
  <c r="P63" i="5"/>
  <c r="N63" i="5"/>
  <c r="S62" i="5"/>
  <c r="R62" i="5"/>
  <c r="Q62" i="5"/>
  <c r="P62" i="5"/>
  <c r="O62" i="5"/>
  <c r="N62" i="5"/>
  <c r="R61" i="5"/>
  <c r="Q61" i="5"/>
  <c r="N61" i="5"/>
  <c r="R60" i="5"/>
  <c r="Q60" i="5"/>
  <c r="O60" i="5"/>
  <c r="N60" i="5"/>
  <c r="R59" i="5"/>
  <c r="Q59" i="5"/>
  <c r="N59" i="5"/>
  <c r="S58" i="5"/>
  <c r="R58" i="5"/>
  <c r="Q58" i="5"/>
  <c r="P58" i="5"/>
  <c r="O58" i="5"/>
  <c r="N58" i="5"/>
  <c r="R57" i="5"/>
  <c r="Q57" i="5"/>
  <c r="P57" i="5"/>
  <c r="N57" i="5"/>
  <c r="R56" i="5"/>
  <c r="Q56" i="5"/>
  <c r="N56" i="5"/>
  <c r="R55" i="5"/>
  <c r="Q55" i="5"/>
  <c r="N55" i="5"/>
  <c r="S54" i="5"/>
  <c r="R54" i="5"/>
  <c r="Q54" i="5"/>
  <c r="P54" i="5"/>
  <c r="O54" i="5"/>
  <c r="N54" i="5"/>
  <c r="R53" i="5"/>
  <c r="Q53" i="5"/>
  <c r="N53" i="5"/>
  <c r="R52" i="5"/>
  <c r="Q52" i="5"/>
  <c r="N52" i="5"/>
  <c r="R51" i="5"/>
  <c r="Q51" i="5"/>
  <c r="N51" i="5"/>
  <c r="S50" i="5"/>
  <c r="R50" i="5"/>
  <c r="Q50" i="5"/>
  <c r="P50" i="5"/>
  <c r="O50" i="5"/>
  <c r="N50" i="5"/>
  <c r="R49" i="5"/>
  <c r="Q49" i="5"/>
  <c r="N49" i="5"/>
  <c r="R48" i="5"/>
  <c r="Q48" i="5"/>
  <c r="N48" i="5"/>
  <c r="R47" i="5"/>
  <c r="Q47" i="5"/>
  <c r="P47" i="5"/>
  <c r="N47" i="5"/>
  <c r="S46" i="5"/>
  <c r="R46" i="5"/>
  <c r="Q46" i="5"/>
  <c r="P46" i="5"/>
  <c r="O46" i="5"/>
  <c r="N46" i="5"/>
  <c r="R45" i="5"/>
  <c r="Q45" i="5"/>
  <c r="N45" i="5"/>
  <c r="R44" i="5"/>
  <c r="Q44" i="5"/>
  <c r="O44" i="5"/>
  <c r="N44" i="5"/>
  <c r="R43" i="5"/>
  <c r="Q43" i="5"/>
  <c r="N43" i="5"/>
  <c r="S42" i="5"/>
  <c r="R42" i="5"/>
  <c r="Q42" i="5"/>
  <c r="P42" i="5"/>
  <c r="O42" i="5"/>
  <c r="N42" i="5"/>
  <c r="R41" i="5"/>
  <c r="Q41" i="5"/>
  <c r="P41" i="5"/>
  <c r="N41" i="5"/>
  <c r="R40" i="5"/>
  <c r="Q40" i="5"/>
  <c r="N40" i="5"/>
  <c r="R39" i="5"/>
  <c r="Q39" i="5"/>
  <c r="N39" i="5"/>
  <c r="S38" i="5"/>
  <c r="R38" i="5"/>
  <c r="Q38" i="5"/>
  <c r="P38" i="5"/>
  <c r="O38" i="5"/>
  <c r="N38" i="5"/>
  <c r="R37" i="5"/>
  <c r="Q37" i="5"/>
  <c r="N37" i="5"/>
  <c r="R36" i="5"/>
  <c r="Q36" i="5"/>
  <c r="N36" i="5"/>
  <c r="R35" i="5"/>
  <c r="Q35" i="5"/>
  <c r="N35" i="5"/>
  <c r="T35" i="5" s="1"/>
  <c r="S34" i="5"/>
  <c r="R34" i="5"/>
  <c r="Q34" i="5"/>
  <c r="P34" i="5"/>
  <c r="O34" i="5"/>
  <c r="N34" i="5"/>
  <c r="R33" i="5"/>
  <c r="Q33" i="5"/>
  <c r="N33" i="5"/>
  <c r="S32" i="5"/>
  <c r="R32" i="5"/>
  <c r="Q32" i="5"/>
  <c r="N32" i="5"/>
  <c r="R31" i="5"/>
  <c r="Q31" i="5"/>
  <c r="P31" i="5"/>
  <c r="N31" i="5"/>
  <c r="S30" i="5"/>
  <c r="R30" i="5"/>
  <c r="Q30" i="5"/>
  <c r="P30" i="5"/>
  <c r="O30" i="5"/>
  <c r="N30" i="5"/>
  <c r="R29" i="5"/>
  <c r="Q29" i="5"/>
  <c r="N29" i="5"/>
  <c r="R28" i="5"/>
  <c r="Q28" i="5"/>
  <c r="O28" i="5"/>
  <c r="N28" i="5"/>
  <c r="R27" i="5"/>
  <c r="Q27" i="5"/>
  <c r="N27" i="5"/>
  <c r="S26" i="5"/>
  <c r="R26" i="5"/>
  <c r="Q26" i="5"/>
  <c r="P26" i="5"/>
  <c r="O26" i="5"/>
  <c r="N26" i="5"/>
  <c r="R25" i="5"/>
  <c r="Q25" i="5"/>
  <c r="P25" i="5"/>
  <c r="N25" i="5"/>
  <c r="R24" i="5"/>
  <c r="Q24" i="5"/>
  <c r="N24" i="5"/>
  <c r="R23" i="5"/>
  <c r="Q23" i="5"/>
  <c r="N23" i="5"/>
  <c r="S22" i="5"/>
  <c r="R22" i="5"/>
  <c r="Q22" i="5"/>
  <c r="P22" i="5"/>
  <c r="O22" i="5"/>
  <c r="N22" i="5"/>
  <c r="R21" i="5"/>
  <c r="Q21" i="5"/>
  <c r="N21" i="5"/>
  <c r="R20" i="5"/>
  <c r="Q20" i="5"/>
  <c r="O20" i="5"/>
  <c r="N20" i="5"/>
  <c r="R19" i="5"/>
  <c r="Q19" i="5"/>
  <c r="N19" i="5"/>
  <c r="S18" i="5"/>
  <c r="R18" i="5"/>
  <c r="Q18" i="5"/>
  <c r="P18" i="5"/>
  <c r="O18" i="5"/>
  <c r="N18" i="5"/>
  <c r="R17" i="5"/>
  <c r="Q17" i="5"/>
  <c r="N17" i="5"/>
  <c r="R16" i="5"/>
  <c r="Q16" i="5"/>
  <c r="O16" i="5"/>
  <c r="N16" i="5"/>
  <c r="R15" i="5"/>
  <c r="Q15" i="5"/>
  <c r="N15" i="5"/>
  <c r="S14" i="5"/>
  <c r="R14" i="5"/>
  <c r="Q14" i="5"/>
  <c r="P14" i="5"/>
  <c r="O14" i="5"/>
  <c r="N14" i="5"/>
  <c r="R13" i="5"/>
  <c r="Q13" i="5"/>
  <c r="N13" i="5"/>
  <c r="R12" i="5"/>
  <c r="Q12" i="5"/>
  <c r="O12" i="5"/>
  <c r="N12" i="5"/>
  <c r="R11" i="5"/>
  <c r="Q11" i="5"/>
  <c r="N11" i="5"/>
  <c r="S10" i="5"/>
  <c r="R10" i="5"/>
  <c r="Q10" i="5"/>
  <c r="P10" i="5"/>
  <c r="O10" i="5"/>
  <c r="N10" i="5"/>
  <c r="R9" i="5"/>
  <c r="Q9" i="5"/>
  <c r="N9" i="5"/>
  <c r="R8" i="5"/>
  <c r="Q8" i="5"/>
  <c r="O8" i="5"/>
  <c r="N8" i="5"/>
  <c r="R7" i="5"/>
  <c r="Q7" i="5"/>
  <c r="N7" i="5"/>
  <c r="S6" i="5"/>
  <c r="R6" i="5"/>
  <c r="Q6" i="5"/>
  <c r="P6" i="5"/>
  <c r="O6" i="5"/>
  <c r="N6" i="5"/>
  <c r="R5" i="5"/>
  <c r="Q5" i="5"/>
  <c r="N5" i="5"/>
  <c r="R4" i="5"/>
  <c r="Q4" i="5"/>
  <c r="O4" i="5"/>
  <c r="N4" i="5"/>
  <c r="R3" i="5"/>
  <c r="Q3" i="5"/>
  <c r="N3" i="5"/>
  <c r="S2" i="5"/>
  <c r="R2" i="5"/>
  <c r="Q2" i="5"/>
  <c r="P2" i="5"/>
  <c r="O2" i="5"/>
  <c r="N2" i="5"/>
  <c r="A28" i="4"/>
  <c r="A25" i="4"/>
  <c r="C93" i="3"/>
  <c r="B93" i="3"/>
  <c r="B91" i="3"/>
  <c r="C91" i="3" s="1"/>
  <c r="A7" i="2" s="1"/>
  <c r="A87" i="3"/>
  <c r="A86" i="3"/>
  <c r="A85" i="3"/>
  <c r="A84" i="3"/>
  <c r="A83" i="3"/>
  <c r="F79" i="3"/>
  <c r="E79" i="3"/>
  <c r="C79" i="3"/>
  <c r="C78" i="3"/>
  <c r="A78" i="3"/>
  <c r="E78" i="3" s="1"/>
  <c r="E77" i="3"/>
  <c r="C77" i="3"/>
  <c r="B77" i="3"/>
  <c r="A77" i="3"/>
  <c r="E76" i="3"/>
  <c r="C76" i="3"/>
  <c r="A76" i="3"/>
  <c r="C75" i="3"/>
  <c r="A75" i="3"/>
  <c r="E75" i="3" s="1"/>
  <c r="F71" i="3"/>
  <c r="E71" i="3"/>
  <c r="C71" i="3"/>
  <c r="E70" i="3"/>
  <c r="B70" i="3"/>
  <c r="A70" i="3"/>
  <c r="C70" i="3" s="1"/>
  <c r="F69" i="3"/>
  <c r="C69" i="3"/>
  <c r="B69" i="3"/>
  <c r="A69" i="3"/>
  <c r="E69" i="3" s="1"/>
  <c r="E68" i="3"/>
  <c r="B68" i="3"/>
  <c r="A68" i="3"/>
  <c r="C68" i="3" s="1"/>
  <c r="F67" i="3"/>
  <c r="C67" i="3"/>
  <c r="B67" i="3"/>
  <c r="A67" i="3"/>
  <c r="E67" i="3" s="1"/>
  <c r="E66" i="3"/>
  <c r="B66" i="3"/>
  <c r="A66" i="3"/>
  <c r="C66" i="3" s="1"/>
  <c r="F62" i="3"/>
  <c r="E62" i="3"/>
  <c r="C62" i="3"/>
  <c r="F61" i="3"/>
  <c r="E61" i="3"/>
  <c r="C61" i="3"/>
  <c r="B61" i="3"/>
  <c r="F60" i="3"/>
  <c r="E60" i="3"/>
  <c r="C60" i="3"/>
  <c r="B60" i="3"/>
  <c r="F56" i="3"/>
  <c r="E56" i="3"/>
  <c r="C56" i="3"/>
  <c r="F55" i="3"/>
  <c r="E55" i="3"/>
  <c r="C55" i="3"/>
  <c r="B55" i="3"/>
  <c r="F54" i="3"/>
  <c r="E54" i="3"/>
  <c r="C54" i="3"/>
  <c r="B54" i="3"/>
  <c r="B56" i="3" s="1"/>
  <c r="F50" i="3"/>
  <c r="E50" i="3"/>
  <c r="C50" i="3"/>
  <c r="F49" i="3"/>
  <c r="E49" i="3"/>
  <c r="C49" i="3"/>
  <c r="B49" i="3"/>
  <c r="F48" i="3"/>
  <c r="E48" i="3"/>
  <c r="C48" i="3"/>
  <c r="B48" i="3"/>
  <c r="F47" i="3"/>
  <c r="E47" i="3"/>
  <c r="C47" i="3"/>
  <c r="A10" i="2" s="1"/>
  <c r="B47" i="3"/>
  <c r="B50" i="3" s="1"/>
  <c r="F43" i="3"/>
  <c r="E43" i="3"/>
  <c r="C43" i="3"/>
  <c r="F42" i="3"/>
  <c r="E42" i="3"/>
  <c r="C42" i="3"/>
  <c r="B42" i="3"/>
  <c r="F41" i="3"/>
  <c r="E41" i="3"/>
  <c r="C41" i="3"/>
  <c r="B41" i="3"/>
  <c r="F40" i="3"/>
  <c r="E40" i="3"/>
  <c r="C40" i="3"/>
  <c r="B40" i="3"/>
  <c r="B43" i="3" s="1"/>
  <c r="F36" i="3"/>
  <c r="E36" i="3"/>
  <c r="C36" i="3"/>
  <c r="F35" i="3"/>
  <c r="E35" i="3"/>
  <c r="C35" i="3"/>
  <c r="B35" i="3"/>
  <c r="F34" i="3"/>
  <c r="E34" i="3"/>
  <c r="C34" i="3"/>
  <c r="B34" i="3"/>
  <c r="B36" i="3" s="1"/>
  <c r="D30" i="3"/>
  <c r="C30" i="3"/>
  <c r="B30" i="3"/>
  <c r="C29" i="3"/>
  <c r="D29" i="3" s="1"/>
  <c r="B29" i="3"/>
  <c r="C28" i="3"/>
  <c r="B28" i="3"/>
  <c r="D28" i="3" s="1"/>
  <c r="C27" i="3"/>
  <c r="B27" i="3"/>
  <c r="D27" i="3" s="1"/>
  <c r="A9" i="2" s="1"/>
  <c r="D26" i="3"/>
  <c r="C26" i="3"/>
  <c r="B26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B11" i="3"/>
  <c r="B10" i="3"/>
  <c r="B9" i="3"/>
  <c r="B8" i="3"/>
  <c r="B6" i="3"/>
  <c r="B5" i="3"/>
  <c r="A6" i="2"/>
  <c r="M5" i="1"/>
  <c r="D5" i="1"/>
  <c r="A5" i="1"/>
  <c r="B62" i="3" l="1"/>
  <c r="F66" i="3"/>
  <c r="F70" i="3"/>
  <c r="T5" i="5"/>
  <c r="P5" i="5"/>
  <c r="D68" i="3" s="1"/>
  <c r="A23" i="4"/>
  <c r="A20" i="4"/>
  <c r="B92" i="3"/>
  <c r="T283" i="5"/>
  <c r="T248" i="5"/>
  <c r="T247" i="5"/>
  <c r="T238" i="5"/>
  <c r="T220" i="5"/>
  <c r="T219" i="5"/>
  <c r="T215" i="5"/>
  <c r="T201" i="5"/>
  <c r="T200" i="5"/>
  <c r="T173" i="5"/>
  <c r="T172" i="5"/>
  <c r="T153" i="5"/>
  <c r="T152" i="5"/>
  <c r="T139" i="5"/>
  <c r="T132" i="5"/>
  <c r="T121" i="5"/>
  <c r="T120" i="5"/>
  <c r="T116" i="5"/>
  <c r="T111" i="5"/>
  <c r="T100" i="5"/>
  <c r="T95" i="5"/>
  <c r="T88" i="5"/>
  <c r="T80" i="5"/>
  <c r="T72" i="5"/>
  <c r="T64" i="5"/>
  <c r="T18" i="5"/>
  <c r="T14" i="5"/>
  <c r="T10" i="5"/>
  <c r="T6" i="5"/>
  <c r="G25" i="4" s="1"/>
  <c r="S5" i="5"/>
  <c r="O5" i="5"/>
  <c r="T2" i="5"/>
  <c r="A29" i="4"/>
  <c r="T9" i="5"/>
  <c r="P9" i="5"/>
  <c r="S9" i="5"/>
  <c r="O9" i="5"/>
  <c r="B86" i="3" s="1"/>
  <c r="C86" i="3" s="1"/>
  <c r="T13" i="5"/>
  <c r="P13" i="5"/>
  <c r="D69" i="3" s="1"/>
  <c r="S13" i="5"/>
  <c r="O13" i="5"/>
  <c r="T17" i="5"/>
  <c r="P17" i="5"/>
  <c r="S17" i="5"/>
  <c r="O17" i="5"/>
  <c r="T21" i="5"/>
  <c r="P21" i="5"/>
  <c r="S21" i="5"/>
  <c r="O21" i="5"/>
  <c r="S29" i="5"/>
  <c r="O29" i="5"/>
  <c r="P29" i="5"/>
  <c r="T48" i="5"/>
  <c r="P48" i="5"/>
  <c r="O48" i="5"/>
  <c r="T51" i="5"/>
  <c r="S61" i="5"/>
  <c r="O61" i="5"/>
  <c r="P61" i="5"/>
  <c r="S70" i="5"/>
  <c r="O70" i="5"/>
  <c r="P70" i="5"/>
  <c r="T70" i="5"/>
  <c r="T81" i="5"/>
  <c r="T82" i="5"/>
  <c r="T164" i="5"/>
  <c r="T175" i="5"/>
  <c r="S209" i="5"/>
  <c r="O209" i="5"/>
  <c r="P209" i="5"/>
  <c r="T209" i="5"/>
  <c r="T222" i="5"/>
  <c r="T251" i="5"/>
  <c r="T252" i="5"/>
  <c r="T258" i="5"/>
  <c r="P258" i="5"/>
  <c r="O258" i="5"/>
  <c r="B71" i="3"/>
  <c r="F75" i="3"/>
  <c r="T45" i="5"/>
  <c r="S51" i="5"/>
  <c r="O51" i="5"/>
  <c r="P51" i="5"/>
  <c r="S78" i="5"/>
  <c r="O78" i="5"/>
  <c r="P78" i="5"/>
  <c r="T78" i="5"/>
  <c r="T89" i="5"/>
  <c r="T90" i="5"/>
  <c r="T97" i="5"/>
  <c r="T125" i="5"/>
  <c r="T162" i="5"/>
  <c r="P162" i="5"/>
  <c r="O162" i="5"/>
  <c r="S162" i="5"/>
  <c r="T196" i="5"/>
  <c r="T206" i="5"/>
  <c r="P206" i="5"/>
  <c r="O206" i="5"/>
  <c r="S206" i="5"/>
  <c r="T266" i="5"/>
  <c r="P266" i="5"/>
  <c r="O266" i="5"/>
  <c r="S266" i="5"/>
  <c r="F68" i="3"/>
  <c r="B75" i="3"/>
  <c r="F76" i="3"/>
  <c r="B76" i="3"/>
  <c r="F77" i="3"/>
  <c r="T32" i="5"/>
  <c r="P32" i="5"/>
  <c r="O32" i="5"/>
  <c r="S45" i="5"/>
  <c r="O45" i="5"/>
  <c r="P45" i="5"/>
  <c r="T65" i="5"/>
  <c r="T66" i="5"/>
  <c r="S86" i="5"/>
  <c r="O86" i="5"/>
  <c r="P86" i="5"/>
  <c r="T86" i="5"/>
  <c r="S97" i="5"/>
  <c r="O97" i="5"/>
  <c r="P97" i="5"/>
  <c r="S125" i="5"/>
  <c r="O125" i="5"/>
  <c r="P125" i="5"/>
  <c r="T141" i="5"/>
  <c r="T145" i="5"/>
  <c r="T159" i="5"/>
  <c r="T180" i="5"/>
  <c r="T184" i="5"/>
  <c r="T185" i="5"/>
  <c r="T203" i="5"/>
  <c r="T216" i="5"/>
  <c r="T218" i="5"/>
  <c r="P218" i="5"/>
  <c r="O218" i="5"/>
  <c r="S218" i="5"/>
  <c r="S264" i="5"/>
  <c r="O264" i="5"/>
  <c r="P264" i="5"/>
  <c r="T264" i="5"/>
  <c r="F78" i="3"/>
  <c r="B78" i="3"/>
  <c r="T29" i="5"/>
  <c r="S35" i="5"/>
  <c r="O35" i="5"/>
  <c r="P35" i="5"/>
  <c r="S48" i="5"/>
  <c r="T61" i="5"/>
  <c r="T73" i="5"/>
  <c r="T74" i="5"/>
  <c r="T94" i="5"/>
  <c r="P94" i="5"/>
  <c r="O94" i="5"/>
  <c r="S94" i="5"/>
  <c r="S113" i="5"/>
  <c r="O113" i="5"/>
  <c r="P113" i="5"/>
  <c r="T123" i="5"/>
  <c r="S141" i="5"/>
  <c r="O141" i="5"/>
  <c r="P141" i="5"/>
  <c r="T178" i="5"/>
  <c r="P178" i="5"/>
  <c r="O178" i="5"/>
  <c r="S178" i="5"/>
  <c r="T190" i="5"/>
  <c r="P190" i="5"/>
  <c r="O190" i="5"/>
  <c r="S190" i="5"/>
  <c r="T214" i="5"/>
  <c r="P214" i="5"/>
  <c r="O214" i="5"/>
  <c r="S214" i="5"/>
  <c r="S258" i="5"/>
  <c r="T262" i="5"/>
  <c r="S23" i="5"/>
  <c r="O23" i="5"/>
  <c r="T23" i="5"/>
  <c r="S33" i="5"/>
  <c r="O33" i="5"/>
  <c r="T33" i="5"/>
  <c r="T36" i="5"/>
  <c r="P36" i="5"/>
  <c r="S36" i="5"/>
  <c r="S39" i="5"/>
  <c r="O39" i="5"/>
  <c r="T39" i="5"/>
  <c r="S49" i="5"/>
  <c r="O49" i="5"/>
  <c r="T49" i="5"/>
  <c r="T52" i="5"/>
  <c r="P52" i="5"/>
  <c r="S52" i="5"/>
  <c r="S55" i="5"/>
  <c r="O55" i="5"/>
  <c r="T55" i="5"/>
  <c r="S66" i="5"/>
  <c r="O66" i="5"/>
  <c r="P66" i="5"/>
  <c r="S68" i="5"/>
  <c r="O68" i="5"/>
  <c r="T68" i="5"/>
  <c r="S74" i="5"/>
  <c r="O74" i="5"/>
  <c r="P74" i="5"/>
  <c r="S76" i="5"/>
  <c r="O76" i="5"/>
  <c r="T76" i="5"/>
  <c r="S82" i="5"/>
  <c r="O82" i="5"/>
  <c r="P82" i="5"/>
  <c r="S84" i="5"/>
  <c r="O84" i="5"/>
  <c r="T84" i="5"/>
  <c r="S90" i="5"/>
  <c r="O90" i="5"/>
  <c r="P90" i="5"/>
  <c r="S92" i="5"/>
  <c r="O92" i="5"/>
  <c r="T92" i="5"/>
  <c r="T98" i="5"/>
  <c r="P98" i="5"/>
  <c r="O98" i="5"/>
  <c r="T114" i="5"/>
  <c r="P114" i="5"/>
  <c r="O114" i="5"/>
  <c r="T126" i="5"/>
  <c r="P126" i="5"/>
  <c r="O126" i="5"/>
  <c r="T142" i="5"/>
  <c r="P142" i="5"/>
  <c r="O142" i="5"/>
  <c r="S145" i="5"/>
  <c r="O145" i="5"/>
  <c r="P145" i="5"/>
  <c r="T150" i="5"/>
  <c r="P150" i="5"/>
  <c r="O150" i="5"/>
  <c r="S150" i="5"/>
  <c r="S169" i="5"/>
  <c r="O169" i="5"/>
  <c r="P169" i="5"/>
  <c r="T169" i="5"/>
  <c r="T182" i="5"/>
  <c r="P182" i="5"/>
  <c r="O182" i="5"/>
  <c r="S182" i="5"/>
  <c r="T194" i="5"/>
  <c r="P194" i="5"/>
  <c r="O194" i="5"/>
  <c r="S194" i="5"/>
  <c r="T198" i="5"/>
  <c r="P198" i="5"/>
  <c r="O198" i="5"/>
  <c r="S198" i="5"/>
  <c r="T217" i="5"/>
  <c r="S217" i="5"/>
  <c r="O217" i="5"/>
  <c r="P217" i="5"/>
  <c r="S256" i="5"/>
  <c r="O256" i="5"/>
  <c r="P256" i="5"/>
  <c r="T256" i="5"/>
  <c r="S272" i="5"/>
  <c r="O272" i="5"/>
  <c r="P272" i="5"/>
  <c r="T272" i="5"/>
  <c r="T280" i="5"/>
  <c r="T288" i="5"/>
  <c r="T286" i="5"/>
  <c r="S3" i="5"/>
  <c r="O3" i="5"/>
  <c r="B83" i="3" s="1"/>
  <c r="C83" i="3" s="1"/>
  <c r="A26" i="4"/>
  <c r="A22" i="4"/>
  <c r="T299" i="5"/>
  <c r="T284" i="5"/>
  <c r="T278" i="5"/>
  <c r="T279" i="5"/>
  <c r="T268" i="5"/>
  <c r="T267" i="5"/>
  <c r="T254" i="5"/>
  <c r="T230" i="5"/>
  <c r="T212" i="5"/>
  <c r="T207" i="5"/>
  <c r="T204" i="5"/>
  <c r="T183" i="5"/>
  <c r="T168" i="5"/>
  <c r="T155" i="5"/>
  <c r="T148" i="5"/>
  <c r="T143" i="5"/>
  <c r="T140" i="5"/>
  <c r="T119" i="5"/>
  <c r="T104" i="5"/>
  <c r="T93" i="5"/>
  <c r="T85" i="5"/>
  <c r="T77" i="5"/>
  <c r="T69" i="5"/>
  <c r="T62" i="5"/>
  <c r="T58" i="5"/>
  <c r="T54" i="5"/>
  <c r="T50" i="5"/>
  <c r="T46" i="5"/>
  <c r="T42" i="5"/>
  <c r="T38" i="5"/>
  <c r="T34" i="5"/>
  <c r="T30" i="5"/>
  <c r="T26" i="5"/>
  <c r="T22" i="5"/>
  <c r="T3" i="5"/>
  <c r="F25" i="4" s="1"/>
  <c r="S7" i="5"/>
  <c r="O7" i="5"/>
  <c r="T7" i="5"/>
  <c r="S11" i="5"/>
  <c r="O11" i="5"/>
  <c r="B84" i="3" s="1"/>
  <c r="C84" i="3" s="1"/>
  <c r="T11" i="5"/>
  <c r="S15" i="5"/>
  <c r="O15" i="5"/>
  <c r="T15" i="5"/>
  <c r="S19" i="5"/>
  <c r="O19" i="5"/>
  <c r="T19" i="5"/>
  <c r="P23" i="5"/>
  <c r="T24" i="5"/>
  <c r="P24" i="5"/>
  <c r="S24" i="5"/>
  <c r="S27" i="5"/>
  <c r="O27" i="5"/>
  <c r="T27" i="5"/>
  <c r="P33" i="5"/>
  <c r="O36" i="5"/>
  <c r="S37" i="5"/>
  <c r="O37" i="5"/>
  <c r="T37" i="5"/>
  <c r="P39" i="5"/>
  <c r="T40" i="5"/>
  <c r="P40" i="5"/>
  <c r="S40" i="5"/>
  <c r="S43" i="5"/>
  <c r="O43" i="5"/>
  <c r="T43" i="5"/>
  <c r="P49" i="5"/>
  <c r="O52" i="5"/>
  <c r="S53" i="5"/>
  <c r="O53" i="5"/>
  <c r="T53" i="5"/>
  <c r="P55" i="5"/>
  <c r="D47" i="3" s="1"/>
  <c r="T56" i="5"/>
  <c r="P56" i="5"/>
  <c r="S56" i="5"/>
  <c r="S59" i="5"/>
  <c r="O59" i="5"/>
  <c r="T59" i="5"/>
  <c r="P68" i="5"/>
  <c r="P76" i="5"/>
  <c r="D70" i="3" s="1"/>
  <c r="P84" i="5"/>
  <c r="P92" i="5"/>
  <c r="S105" i="5"/>
  <c r="O105" i="5"/>
  <c r="P105" i="5"/>
  <c r="T105" i="5"/>
  <c r="T108" i="5"/>
  <c r="T109" i="5"/>
  <c r="T118" i="5"/>
  <c r="P118" i="5"/>
  <c r="O118" i="5"/>
  <c r="S118" i="5"/>
  <c r="T130" i="5"/>
  <c r="P130" i="5"/>
  <c r="O130" i="5"/>
  <c r="S130" i="5"/>
  <c r="T134" i="5"/>
  <c r="P134" i="5"/>
  <c r="O134" i="5"/>
  <c r="S134" i="5"/>
  <c r="T136" i="5"/>
  <c r="T137" i="5"/>
  <c r="T151" i="5"/>
  <c r="S153" i="5"/>
  <c r="O153" i="5"/>
  <c r="P153" i="5"/>
  <c r="T156" i="5"/>
  <c r="T167" i="5"/>
  <c r="T171" i="5"/>
  <c r="S173" i="5"/>
  <c r="O173" i="5"/>
  <c r="P173" i="5"/>
  <c r="T188" i="5"/>
  <c r="T191" i="5"/>
  <c r="T199" i="5"/>
  <c r="S201" i="5"/>
  <c r="O201" i="5"/>
  <c r="P201" i="5"/>
  <c r="T235" i="5"/>
  <c r="T236" i="5"/>
  <c r="T246" i="5"/>
  <c r="S248" i="5"/>
  <c r="O248" i="5"/>
  <c r="P248" i="5"/>
  <c r="T250" i="5"/>
  <c r="P250" i="5"/>
  <c r="O250" i="5"/>
  <c r="T270" i="5"/>
  <c r="A21" i="4"/>
  <c r="A24" i="4"/>
  <c r="A27" i="4"/>
  <c r="P3" i="5"/>
  <c r="T4" i="5"/>
  <c r="P4" i="5"/>
  <c r="S4" i="5"/>
  <c r="P7" i="5"/>
  <c r="T8" i="5"/>
  <c r="P8" i="5"/>
  <c r="D75" i="3" s="1"/>
  <c r="S8" i="5"/>
  <c r="P11" i="5"/>
  <c r="D66" i="3" s="1"/>
  <c r="T12" i="5"/>
  <c r="P12" i="5"/>
  <c r="S12" i="5"/>
  <c r="P15" i="5"/>
  <c r="D55" i="3" s="1"/>
  <c r="T16" i="5"/>
  <c r="P16" i="5"/>
  <c r="S16" i="5"/>
  <c r="P19" i="5"/>
  <c r="T20" i="5"/>
  <c r="P20" i="5"/>
  <c r="S20" i="5"/>
  <c r="O24" i="5"/>
  <c r="S25" i="5"/>
  <c r="O25" i="5"/>
  <c r="T25" i="5"/>
  <c r="P27" i="5"/>
  <c r="T28" i="5"/>
  <c r="P28" i="5"/>
  <c r="S28" i="5"/>
  <c r="S31" i="5"/>
  <c r="O31" i="5"/>
  <c r="T31" i="5"/>
  <c r="P37" i="5"/>
  <c r="O40" i="5"/>
  <c r="S41" i="5"/>
  <c r="O41" i="5"/>
  <c r="T41" i="5"/>
  <c r="P43" i="5"/>
  <c r="T44" i="5"/>
  <c r="P44" i="5"/>
  <c r="S44" i="5"/>
  <c r="S47" i="5"/>
  <c r="O47" i="5"/>
  <c r="T47" i="5"/>
  <c r="P53" i="5"/>
  <c r="O56" i="5"/>
  <c r="S57" i="5"/>
  <c r="O57" i="5"/>
  <c r="T57" i="5"/>
  <c r="P59" i="5"/>
  <c r="T60" i="5"/>
  <c r="P60" i="5"/>
  <c r="S60" i="5"/>
  <c r="T63" i="5"/>
  <c r="S63" i="5"/>
  <c r="O63" i="5"/>
  <c r="T103" i="5"/>
  <c r="T107" i="5"/>
  <c r="S109" i="5"/>
  <c r="O109" i="5"/>
  <c r="P109" i="5"/>
  <c r="T124" i="5"/>
  <c r="T127" i="5"/>
  <c r="T135" i="5"/>
  <c r="S137" i="5"/>
  <c r="O137" i="5"/>
  <c r="P137" i="5"/>
  <c r="T158" i="5"/>
  <c r="P158" i="5"/>
  <c r="O158" i="5"/>
  <c r="S158" i="5"/>
  <c r="S161" i="5"/>
  <c r="O161" i="5"/>
  <c r="T161" i="5"/>
  <c r="S177" i="5"/>
  <c r="O177" i="5"/>
  <c r="T177" i="5"/>
  <c r="T187" i="5"/>
  <c r="S189" i="5"/>
  <c r="O189" i="5"/>
  <c r="T189" i="5"/>
  <c r="S205" i="5"/>
  <c r="O205" i="5"/>
  <c r="T205" i="5"/>
  <c r="S224" i="5"/>
  <c r="O224" i="5"/>
  <c r="P224" i="5"/>
  <c r="T224" i="5"/>
  <c r="T231" i="5"/>
  <c r="T232" i="5"/>
  <c r="T242" i="5"/>
  <c r="P242" i="5"/>
  <c r="O242" i="5"/>
  <c r="T263" i="5"/>
  <c r="T102" i="5"/>
  <c r="P102" i="5"/>
  <c r="O102" i="5"/>
  <c r="S102" i="5"/>
  <c r="T110" i="5"/>
  <c r="P110" i="5"/>
  <c r="O110" i="5"/>
  <c r="S121" i="5"/>
  <c r="O121" i="5"/>
  <c r="P121" i="5"/>
  <c r="S129" i="5"/>
  <c r="O129" i="5"/>
  <c r="T129" i="5"/>
  <c r="T146" i="5"/>
  <c r="P146" i="5"/>
  <c r="O146" i="5"/>
  <c r="S157" i="5"/>
  <c r="O157" i="5"/>
  <c r="T157" i="5"/>
  <c r="T166" i="5"/>
  <c r="P166" i="5"/>
  <c r="O166" i="5"/>
  <c r="S166" i="5"/>
  <c r="T174" i="5"/>
  <c r="P174" i="5"/>
  <c r="O174" i="5"/>
  <c r="S185" i="5"/>
  <c r="O185" i="5"/>
  <c r="P185" i="5"/>
  <c r="S193" i="5"/>
  <c r="O193" i="5"/>
  <c r="T193" i="5"/>
  <c r="T210" i="5"/>
  <c r="P210" i="5"/>
  <c r="O210" i="5"/>
  <c r="T226" i="5"/>
  <c r="P226" i="5"/>
  <c r="S226" i="5"/>
  <c r="S232" i="5"/>
  <c r="O232" i="5"/>
  <c r="P232" i="5"/>
  <c r="T234" i="5"/>
  <c r="P234" i="5"/>
  <c r="O234" i="5"/>
  <c r="S240" i="5"/>
  <c r="O240" i="5"/>
  <c r="P240" i="5"/>
  <c r="T240" i="5"/>
  <c r="T274" i="5"/>
  <c r="P274" i="5"/>
  <c r="S274" i="5"/>
  <c r="S280" i="5"/>
  <c r="O280" i="5"/>
  <c r="P280" i="5"/>
  <c r="T282" i="5"/>
  <c r="P282" i="5"/>
  <c r="O282" i="5"/>
  <c r="T295" i="5"/>
  <c r="T294" i="5"/>
  <c r="T67" i="5"/>
  <c r="P67" i="5"/>
  <c r="S67" i="5"/>
  <c r="T71" i="5"/>
  <c r="P71" i="5"/>
  <c r="S71" i="5"/>
  <c r="T75" i="5"/>
  <c r="P75" i="5"/>
  <c r="S75" i="5"/>
  <c r="T79" i="5"/>
  <c r="P79" i="5"/>
  <c r="S79" i="5"/>
  <c r="T83" i="5"/>
  <c r="P83" i="5"/>
  <c r="S83" i="5"/>
  <c r="T87" i="5"/>
  <c r="P87" i="5"/>
  <c r="S87" i="5"/>
  <c r="T91" i="5"/>
  <c r="P91" i="5"/>
  <c r="S91" i="5"/>
  <c r="T96" i="5"/>
  <c r="T99" i="5"/>
  <c r="S101" i="5"/>
  <c r="O101" i="5"/>
  <c r="T101" i="5"/>
  <c r="T106" i="5"/>
  <c r="P106" i="5"/>
  <c r="O106" i="5"/>
  <c r="T112" i="5"/>
  <c r="T115" i="5"/>
  <c r="S117" i="5"/>
  <c r="O117" i="5"/>
  <c r="T117" i="5"/>
  <c r="T122" i="5"/>
  <c r="P122" i="5"/>
  <c r="O122" i="5"/>
  <c r="T128" i="5"/>
  <c r="T131" i="5"/>
  <c r="S133" i="5"/>
  <c r="O133" i="5"/>
  <c r="T133" i="5"/>
  <c r="T138" i="5"/>
  <c r="P138" i="5"/>
  <c r="O138" i="5"/>
  <c r="T144" i="5"/>
  <c r="T147" i="5"/>
  <c r="S149" i="5"/>
  <c r="O149" i="5"/>
  <c r="T149" i="5"/>
  <c r="T154" i="5"/>
  <c r="P154" i="5"/>
  <c r="O154" i="5"/>
  <c r="T160" i="5"/>
  <c r="T163" i="5"/>
  <c r="S165" i="5"/>
  <c r="O165" i="5"/>
  <c r="T165" i="5"/>
  <c r="T170" i="5"/>
  <c r="P170" i="5"/>
  <c r="O170" i="5"/>
  <c r="T176" i="5"/>
  <c r="T179" i="5"/>
  <c r="S181" i="5"/>
  <c r="O181" i="5"/>
  <c r="T181" i="5"/>
  <c r="T186" i="5"/>
  <c r="P186" i="5"/>
  <c r="O186" i="5"/>
  <c r="T192" i="5"/>
  <c r="T195" i="5"/>
  <c r="S197" i="5"/>
  <c r="O197" i="5"/>
  <c r="T197" i="5"/>
  <c r="T202" i="5"/>
  <c r="P202" i="5"/>
  <c r="O202" i="5"/>
  <c r="T208" i="5"/>
  <c r="T211" i="5"/>
  <c r="S213" i="5"/>
  <c r="O213" i="5"/>
  <c r="T213" i="5"/>
  <c r="T223" i="5"/>
  <c r="T227" i="5"/>
  <c r="T228" i="5"/>
  <c r="T239" i="5"/>
  <c r="T243" i="5"/>
  <c r="T244" i="5"/>
  <c r="T255" i="5"/>
  <c r="T259" i="5"/>
  <c r="T260" i="5"/>
  <c r="T271" i="5"/>
  <c r="T275" i="5"/>
  <c r="T276" i="5"/>
  <c r="T287" i="5"/>
  <c r="T291" i="5"/>
  <c r="T292" i="5"/>
  <c r="T298" i="5"/>
  <c r="S288" i="5"/>
  <c r="O288" i="5"/>
  <c r="P288" i="5"/>
  <c r="T290" i="5"/>
  <c r="P290" i="5"/>
  <c r="S290" i="5"/>
  <c r="S296" i="5"/>
  <c r="O296" i="5"/>
  <c r="P296" i="5"/>
  <c r="T301" i="5"/>
  <c r="S220" i="5"/>
  <c r="O220" i="5"/>
  <c r="P220" i="5"/>
  <c r="S228" i="5"/>
  <c r="O228" i="5"/>
  <c r="P228" i="5"/>
  <c r="S236" i="5"/>
  <c r="O236" i="5"/>
  <c r="P236" i="5"/>
  <c r="S244" i="5"/>
  <c r="O244" i="5"/>
  <c r="P244" i="5"/>
  <c r="S252" i="5"/>
  <c r="O252" i="5"/>
  <c r="P252" i="5"/>
  <c r="S260" i="5"/>
  <c r="O260" i="5"/>
  <c r="P260" i="5"/>
  <c r="S268" i="5"/>
  <c r="O268" i="5"/>
  <c r="P268" i="5"/>
  <c r="S276" i="5"/>
  <c r="O276" i="5"/>
  <c r="P276" i="5"/>
  <c r="S284" i="5"/>
  <c r="O284" i="5"/>
  <c r="P284" i="5"/>
  <c r="S292" i="5"/>
  <c r="O292" i="5"/>
  <c r="P292" i="5"/>
  <c r="P298" i="5"/>
  <c r="T296" i="5"/>
  <c r="T221" i="5"/>
  <c r="P221" i="5"/>
  <c r="S221" i="5"/>
  <c r="T225" i="5"/>
  <c r="P225" i="5"/>
  <c r="S225" i="5"/>
  <c r="T229" i="5"/>
  <c r="P229" i="5"/>
  <c r="S229" i="5"/>
  <c r="T233" i="5"/>
  <c r="P233" i="5"/>
  <c r="S233" i="5"/>
  <c r="T237" i="5"/>
  <c r="P237" i="5"/>
  <c r="S237" i="5"/>
  <c r="T241" i="5"/>
  <c r="P241" i="5"/>
  <c r="S241" i="5"/>
  <c r="T245" i="5"/>
  <c r="P245" i="5"/>
  <c r="S245" i="5"/>
  <c r="T249" i="5"/>
  <c r="P249" i="5"/>
  <c r="S249" i="5"/>
  <c r="T253" i="5"/>
  <c r="P253" i="5"/>
  <c r="S253" i="5"/>
  <c r="T257" i="5"/>
  <c r="P257" i="5"/>
  <c r="S257" i="5"/>
  <c r="T261" i="5"/>
  <c r="P261" i="5"/>
  <c r="S261" i="5"/>
  <c r="T265" i="5"/>
  <c r="P265" i="5"/>
  <c r="S265" i="5"/>
  <c r="T269" i="5"/>
  <c r="P269" i="5"/>
  <c r="S269" i="5"/>
  <c r="T273" i="5"/>
  <c r="P273" i="5"/>
  <c r="S273" i="5"/>
  <c r="T277" i="5"/>
  <c r="P277" i="5"/>
  <c r="S277" i="5"/>
  <c r="T281" i="5"/>
  <c r="P281" i="5"/>
  <c r="S281" i="5"/>
  <c r="T285" i="5"/>
  <c r="P285" i="5"/>
  <c r="S285" i="5"/>
  <c r="T289" i="5"/>
  <c r="P289" i="5"/>
  <c r="S289" i="5"/>
  <c r="T293" i="5"/>
  <c r="P293" i="5"/>
  <c r="S293" i="5"/>
  <c r="T297" i="5"/>
  <c r="P297" i="5"/>
  <c r="S297" i="5"/>
  <c r="P300" i="5"/>
  <c r="T300" i="5"/>
  <c r="O301" i="5"/>
  <c r="S301" i="5"/>
  <c r="O300" i="5"/>
  <c r="P301" i="5"/>
  <c r="D60" i="3" l="1"/>
  <c r="D71" i="3"/>
  <c r="D79" i="3"/>
  <c r="D62" i="3"/>
  <c r="B7" i="3"/>
  <c r="D43" i="3"/>
  <c r="D56" i="3"/>
  <c r="D49" i="3"/>
  <c r="D50" i="3"/>
  <c r="D36" i="3"/>
  <c r="D76" i="3"/>
  <c r="D29" i="4"/>
  <c r="C29" i="4"/>
  <c r="G29" i="4"/>
  <c r="B29" i="4"/>
  <c r="F29" i="4"/>
  <c r="E29" i="4"/>
  <c r="F27" i="4"/>
  <c r="B27" i="4"/>
  <c r="G27" i="4"/>
  <c r="E27" i="4"/>
  <c r="D27" i="4"/>
  <c r="C27" i="4"/>
  <c r="E26" i="4"/>
  <c r="C26" i="4"/>
  <c r="G26" i="4"/>
  <c r="B26" i="4"/>
  <c r="F26" i="4"/>
  <c r="D26" i="4"/>
  <c r="D78" i="3"/>
  <c r="B85" i="3"/>
  <c r="C85" i="3" s="1"/>
  <c r="F15" i="4"/>
  <c r="B15" i="4"/>
  <c r="D14" i="4"/>
  <c r="F13" i="4"/>
  <c r="D15" i="4"/>
  <c r="E14" i="4"/>
  <c r="E13" i="4"/>
  <c r="G12" i="4"/>
  <c r="C12" i="4"/>
  <c r="E11" i="4"/>
  <c r="G10" i="4"/>
  <c r="C10" i="4"/>
  <c r="E9" i="4"/>
  <c r="G8" i="4"/>
  <c r="C8" i="4"/>
  <c r="E7" i="4"/>
  <c r="G6" i="4"/>
  <c r="C6" i="4"/>
  <c r="C15" i="4"/>
  <c r="C14" i="4"/>
  <c r="D13" i="4"/>
  <c r="F12" i="4"/>
  <c r="B12" i="4"/>
  <c r="D11" i="4"/>
  <c r="F10" i="4"/>
  <c r="B10" i="4"/>
  <c r="D9" i="4"/>
  <c r="F8" i="4"/>
  <c r="B8" i="4"/>
  <c r="D7" i="4"/>
  <c r="F6" i="4"/>
  <c r="B6" i="4"/>
  <c r="G15" i="4"/>
  <c r="B14" i="4"/>
  <c r="E12" i="4"/>
  <c r="C11" i="4"/>
  <c r="G9" i="4"/>
  <c r="E8" i="4"/>
  <c r="C7" i="4"/>
  <c r="E15" i="4"/>
  <c r="G13" i="4"/>
  <c r="D12" i="4"/>
  <c r="B11" i="4"/>
  <c r="F9" i="4"/>
  <c r="D8" i="4"/>
  <c r="B7" i="4"/>
  <c r="G14" i="4"/>
  <c r="C13" i="4"/>
  <c r="G11" i="4"/>
  <c r="E10" i="4"/>
  <c r="C9" i="4"/>
  <c r="G7" i="4"/>
  <c r="E6" i="4"/>
  <c r="F14" i="4"/>
  <c r="B13" i="4"/>
  <c r="F11" i="4"/>
  <c r="D10" i="4"/>
  <c r="B9" i="4"/>
  <c r="F7" i="4"/>
  <c r="D6" i="4"/>
  <c r="C92" i="3"/>
  <c r="A8" i="2" s="1"/>
  <c r="C28" i="4"/>
  <c r="C25" i="4"/>
  <c r="D40" i="3"/>
  <c r="B87" i="3"/>
  <c r="C87" i="3" s="1"/>
  <c r="D48" i="3"/>
  <c r="E22" i="4"/>
  <c r="D22" i="4"/>
  <c r="C22" i="4"/>
  <c r="G22" i="4"/>
  <c r="B22" i="4"/>
  <c r="F22" i="4"/>
  <c r="E28" i="4"/>
  <c r="D67" i="3"/>
  <c r="D35" i="3"/>
  <c r="G24" i="4"/>
  <c r="C24" i="4"/>
  <c r="F24" i="4"/>
  <c r="E24" i="4"/>
  <c r="D24" i="4"/>
  <c r="B24" i="4"/>
  <c r="B79" i="3"/>
  <c r="F28" i="4"/>
  <c r="D42" i="3"/>
  <c r="G20" i="4"/>
  <c r="C20" i="4"/>
  <c r="B20" i="4"/>
  <c r="F20" i="4"/>
  <c r="E20" i="4"/>
  <c r="D20" i="4"/>
  <c r="B28" i="4"/>
  <c r="G28" i="4"/>
  <c r="E25" i="4"/>
  <c r="D61" i="3"/>
  <c r="D41" i="3"/>
  <c r="D21" i="4"/>
  <c r="F21" i="4"/>
  <c r="E21" i="4"/>
  <c r="C21" i="4"/>
  <c r="B21" i="4"/>
  <c r="G21" i="4"/>
  <c r="B12" i="3"/>
  <c r="D77" i="3"/>
  <c r="D34" i="3"/>
  <c r="F23" i="4"/>
  <c r="B23" i="4"/>
  <c r="C23" i="4"/>
  <c r="G23" i="4"/>
  <c r="E23" i="4"/>
  <c r="D23" i="4"/>
  <c r="D28" i="4"/>
  <c r="B25" i="4"/>
  <c r="D25" i="4"/>
  <c r="D54" i="3"/>
  <c r="J5" i="1" l="1"/>
  <c r="B13" i="3"/>
  <c r="A11" i="2" s="1"/>
  <c r="A5" i="2"/>
  <c r="G5" i="1"/>
</calcChain>
</file>

<file path=xl/sharedStrings.xml><?xml version="1.0" encoding="utf-8"?>
<sst xmlns="http://schemas.openxmlformats.org/spreadsheetml/2006/main" count="2075" uniqueCount="466">
  <si>
    <t>Student Performance Dashboard</t>
  </si>
  <si>
    <t>300 students  |  5 subjects  |  Source: synthetic dataset (see README)</t>
  </si>
  <si>
    <t>STUDENTS</t>
  </si>
  <si>
    <t>AVERAGE SCORE</t>
  </si>
  <si>
    <t>PASS RATE</t>
  </si>
  <si>
    <t>AT-RISK STUDENTS</t>
  </si>
  <si>
    <t>STRONGEST SUBJECT</t>
  </si>
  <si>
    <t>WEAKEST SUBJECT</t>
  </si>
  <si>
    <t>Key Findings &amp; Recommendations</t>
  </si>
  <si>
    <t>Findings below are formulas, so the numbers update if the data or settings change. Recommendations are analyst judgement.</t>
  </si>
  <si>
    <t>Findings</t>
  </si>
  <si>
    <t>Recommendations (analyst judgement, based on the patterns above)</t>
  </si>
  <si>
    <t>A. Offer structured study support (supervised study periods, peer groups) for students in the lowest study-hours band.</t>
  </si>
  <si>
    <t>B. Trigger an attendance early-warning check when a student drops under the attendance threshold on the Settings sheet.</t>
  </si>
  <si>
    <t>C. Review teaching support in the weakest subject shown on the Dashboard; compare results across classes before drawing conclusions.</t>
  </si>
  <si>
    <t>D. Look at access gaps: a school computer lab / library hours could help students without home internet.</t>
  </si>
  <si>
    <t>E. Use the At_Risk filter on the Data sheet to build a named intervention list for counsellors and class teachers.</t>
  </si>
  <si>
    <t>Limitations</t>
  </si>
  <si>
    <t>- The data is synthetic (generated with a fixed random seed), so findings demonstrate method, not real-school facts.</t>
  </si>
  <si>
    <t>- Correlation is not causation; study hours and attendance may both reflect motivation or home circumstances.</t>
  </si>
  <si>
    <t>- Averages treat all five subjects equally; a school with weighted subjects would change the Average formula.</t>
  </si>
  <si>
    <t>Analysis Tables</t>
  </si>
  <si>
    <t>Every figure is a live formula on the Data sheet (COUNTIFS / AVERAGEIFS / CORREL).</t>
  </si>
  <si>
    <t>1. Key performance indicators</t>
  </si>
  <si>
    <t>Total students</t>
  </si>
  <si>
    <t>Overall average score</t>
  </si>
  <si>
    <t>Pass rate</t>
  </si>
  <si>
    <t>Median average score</t>
  </si>
  <si>
    <t>Std deviation of average</t>
  </si>
  <si>
    <t>Highest student average</t>
  </si>
  <si>
    <t>Lowest student average</t>
  </si>
  <si>
    <t>At-risk students</t>
  </si>
  <si>
    <t>At-risk share</t>
  </si>
  <si>
    <t>2. Subject performance</t>
  </si>
  <si>
    <t>Subject</t>
  </si>
  <si>
    <t>Average</t>
  </si>
  <si>
    <t>Highest</t>
  </si>
  <si>
    <t>Lowest</t>
  </si>
  <si>
    <t>Pass rate (&gt;= pass mark)</t>
  </si>
  <si>
    <t>Math</t>
  </si>
  <si>
    <t>English</t>
  </si>
  <si>
    <t>Science</t>
  </si>
  <si>
    <t>Social_Studies</t>
  </si>
  <si>
    <t>ICT</t>
  </si>
  <si>
    <t>3. Subject average by gender</t>
  </si>
  <si>
    <t>Female</t>
  </si>
  <si>
    <t>Male</t>
  </si>
  <si>
    <t>Gap (F - M)</t>
  </si>
  <si>
    <t>4. Performance by gender</t>
  </si>
  <si>
    <t>Gender</t>
  </si>
  <si>
    <t>Students</t>
  </si>
  <si>
    <t>Avg score</t>
  </si>
  <si>
    <t>Avg study hrs/wk</t>
  </si>
  <si>
    <t>Avg attendance %</t>
  </si>
  <si>
    <t>Total / overall</t>
  </si>
  <si>
    <t>5. Performance by grade level</t>
  </si>
  <si>
    <t>Grade Level</t>
  </si>
  <si>
    <t>Grade 10</t>
  </si>
  <si>
    <t>Grade 11</t>
  </si>
  <si>
    <t>Grade 12</t>
  </si>
  <si>
    <t>6. Performance by parental education</t>
  </si>
  <si>
    <t>Parental Education</t>
  </si>
  <si>
    <t>Basic</t>
  </si>
  <si>
    <t>Secondary</t>
  </si>
  <si>
    <t>Tertiary</t>
  </si>
  <si>
    <t>7. Performance by internet access</t>
  </si>
  <si>
    <t>Internet Access</t>
  </si>
  <si>
    <t>Yes</t>
  </si>
  <si>
    <t>No</t>
  </si>
  <si>
    <t>8. Performance by extracurricular activity</t>
  </si>
  <si>
    <t>Extracurricular Activity</t>
  </si>
  <si>
    <t>9. Performance by study hours band</t>
  </si>
  <si>
    <t>Study Hours Band</t>
  </si>
  <si>
    <t>10. Performance by attendance band</t>
  </si>
  <si>
    <t>Attendance Band</t>
  </si>
  <si>
    <t>11. Letter-grade distribution</t>
  </si>
  <si>
    <t>Letter grade</t>
  </si>
  <si>
    <t>Share</t>
  </si>
  <si>
    <t>12. Correlations with student average (Pearson r)</t>
  </si>
  <si>
    <t>Relationship</t>
  </si>
  <si>
    <t>r</t>
  </si>
  <si>
    <t>Strength</t>
  </si>
  <si>
    <t>Study hours vs average score</t>
  </si>
  <si>
    <t>Attendance % vs average score</t>
  </si>
  <si>
    <t>Study hours vs attendance %</t>
  </si>
  <si>
    <t>Assumption: strength cut-offs 0.6 / 0.3 / 0.1 are a common rule of thumb. Correlation does not prove causation.</t>
  </si>
  <si>
    <t>Top 10 &amp; Bottom 10 Students</t>
  </si>
  <si>
    <t>Pulled from the Rank column on the Data sheet (ties broken by row order).</t>
  </si>
  <si>
    <t>Top 10</t>
  </si>
  <si>
    <t>Rank</t>
  </si>
  <si>
    <t>Student ID</t>
  </si>
  <si>
    <t>Grade level</t>
  </si>
  <si>
    <t>Study hrs/wk</t>
  </si>
  <si>
    <t>Attendance %</t>
  </si>
  <si>
    <t>At risk</t>
  </si>
  <si>
    <t>Bottom 10</t>
  </si>
  <si>
    <t>Student_ID</t>
  </si>
  <si>
    <t>Grade_Level</t>
  </si>
  <si>
    <t>Study_Hours_Week</t>
  </si>
  <si>
    <t>Attendance_Pct</t>
  </si>
  <si>
    <t>Parental_Education</t>
  </si>
  <si>
    <t>Internet_Access</t>
  </si>
  <si>
    <t>Extracurricular</t>
  </si>
  <si>
    <t>Letter_Grade</t>
  </si>
  <si>
    <t>Result</t>
  </si>
  <si>
    <t>Study_Band</t>
  </si>
  <si>
    <t>Attendance_Band</t>
  </si>
  <si>
    <t>At_Risk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</si>
  <si>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</si>
  <si>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</si>
  <si>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</si>
  <si>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</si>
  <si>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</si>
  <si>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</si>
  <si>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</si>
  <si>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</si>
  <si>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</si>
  <si>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</si>
  <si>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</si>
  <si>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</si>
  <si>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</si>
  <si>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</si>
  <si>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</si>
  <si>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</si>
  <si>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</si>
  <si>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</si>
  <si>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</si>
  <si>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</si>
  <si>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</si>
  <si>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</si>
  <si>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</si>
  <si>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</si>
  <si>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</si>
  <si>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</si>
  <si>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</si>
  <si>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</si>
  <si>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</si>
  <si>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</si>
  <si>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</si>
  <si>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</si>
  <si>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</si>
  <si>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</si>
  <si>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</si>
  <si>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</si>
  <si>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</si>
  <si>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</si>
  <si>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</si>
  <si>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</si>
  <si>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</si>
  <si>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</si>
  <si>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</si>
  <si>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</si>
  <si>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</si>
  <si>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</si>
  <si>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</si>
  <si>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</si>
  <si>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</si>
  <si>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</si>
  <si>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</si>
  <si>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</si>
  <si>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</si>
  <si>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</si>
  <si>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</si>
  <si>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</si>
  <si>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</si>
  <si>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</si>
  <si>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</si>
  <si>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</si>
  <si>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</si>
  <si>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</si>
  <si>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</si>
  <si>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</si>
  <si>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</si>
  <si>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</si>
  <si>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</si>
  <si>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</si>
  <si>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</si>
  <si>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</si>
  <si>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</si>
  <si>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</si>
  <si>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</si>
  <si>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</si>
  <si>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</si>
  <si>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</si>
  <si>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</si>
  <si>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</si>
  <si>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</si>
  <si>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</si>
  <si>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</si>
  <si>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</si>
  <si>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</si>
  <si>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</si>
  <si>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</si>
  <si>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</si>
  <si>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</si>
  <si>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</si>
  <si>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</si>
  <si>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</si>
  <si>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</si>
  <si>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</si>
  <si>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</si>
  <si>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</si>
  <si>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</si>
  <si>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</si>
  <si>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</si>
  <si>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</si>
  <si>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</si>
  <si>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</si>
  <si>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</si>
  <si>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</si>
  <si>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</si>
  <si>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</si>
  <si>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</si>
  <si>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</si>
  <si>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</si>
  <si>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</si>
  <si>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</si>
  <si>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</si>
  <si>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</si>
  <si>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</si>
  <si>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</si>
  <si>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</si>
  <si>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</si>
  <si>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</si>
  <si>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</si>
  <si>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</si>
  <si>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</si>
  <si>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</si>
  <si>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</si>
  <si>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</si>
  <si>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</si>
  <si>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</si>
  <si>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</si>
  <si>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</si>
  <si>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</si>
  <si>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</si>
  <si>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</si>
  <si>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</si>
  <si>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</si>
  <si>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</si>
  <si>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</si>
  <si>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</si>
  <si>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</si>
  <si>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</si>
  <si>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</si>
  <si>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</si>
  <si>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</si>
  <si>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</si>
  <si>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</si>
  <si>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</si>
  <si>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</si>
  <si>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</si>
  <si>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</si>
  <si>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</si>
  <si>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</si>
  <si>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</si>
  <si>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</si>
  <si>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</si>
  <si>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</si>
  <si>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</si>
  <si>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</si>
  <si>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</si>
  <si>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</si>
  <si>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</si>
  <si>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</si>
  <si>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</si>
  <si>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</si>
  <si>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</si>
  <si>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</si>
  <si>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</si>
  <si>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</si>
  <si>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</si>
  <si>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</si>
  <si>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</si>
  <si>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</si>
  <si>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</si>
  <si>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</si>
  <si>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</si>
  <si>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</si>
  <si>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</si>
  <si>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</si>
  <si>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</si>
  <si>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</si>
  <si>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</si>
  <si>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</si>
  <si>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</si>
  <si>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</si>
  <si>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</si>
  <si>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</si>
  <si>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</si>
  <si>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</si>
  <si>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</si>
  <si>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</si>
  <si>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</si>
  <si>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</si>
  <si>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</si>
  <si>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</si>
  <si>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</si>
  <si>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</si>
  <si>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</si>
  <si>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</si>
  <si>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</si>
  <si>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</si>
  <si>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</si>
  <si>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</si>
  <si>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</si>
  <si>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</si>
  <si>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</si>
  <si>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</si>
  <si>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</si>
  <si>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</si>
  <si>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</si>
  <si>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</si>
  <si>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</si>
  <si>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</si>
  <si>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</si>
  <si>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</si>
  <si>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</si>
  <si>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</si>
  <si>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</si>
  <si>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</si>
  <si>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</si>
  <si>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</si>
  <si>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</si>
  <si>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</si>
  <si>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</si>
  <si>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</si>
  <si>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</si>
  <si>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</si>
  <si>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</si>
  <si>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</si>
  <si>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</si>
  <si>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</si>
  <si>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</si>
  <si>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</si>
  <si>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</si>
  <si>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</si>
  <si>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</si>
  <si>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</si>
  <si>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</si>
  <si>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</si>
  <si>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</si>
  <si>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</si>
  <si>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</si>
  <si>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</si>
  <si>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</si>
  <si>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</si>
  <si>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</si>
  <si>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</si>
  <si>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</si>
  <si>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</si>
  <si>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</si>
  <si>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</si>
  <si>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</si>
  <si>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</si>
  <si>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</si>
  <si>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</si>
  <si>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</si>
  <si>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</si>
  <si>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</si>
  <si>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</si>
  <si>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</si>
  <si>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</si>
  <si>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</si>
  <si>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</si>
  <si>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</si>
  <si>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</si>
  <si>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</si>
  <si>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</si>
  <si>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</si>
  <si>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</si>
  <si>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</si>
  <si>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</si>
  <si>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</si>
  <si>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</si>
  <si>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</si>
  <si>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</si>
  <si>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</si>
  <si>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</si>
  <si>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</si>
  <si>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</si>
  <si>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</si>
  <si>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</si>
  <si>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</si>
  <si>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</si>
  <si>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</si>
  <si>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</si>
  <si>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</si>
  <si>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</si>
  <si>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</si>
  <si>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</si>
  <si>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</si>
  <si>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</si>
  <si>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</si>
  <si>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</si>
  <si>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</si>
  <si>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</si>
  <si>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</si>
  <si>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</si>
  <si>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</si>
  <si>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</si>
  <si>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</si>
  <si>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</si>
  <si>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</si>
  <si>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</si>
  <si>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</si>
  <si>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</si>
  <si>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</si>
  <si>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Settings &amp; Assumptions</t>
  </si>
  <si>
    <t>Blue text on yellow = editable input. Change a value and every sheet recalculates.</t>
  </si>
  <si>
    <t>Pass mark (student average &gt;=)</t>
  </si>
  <si>
    <t>Assumption: 50 is a common pass threshold; adjust to your school's rule.</t>
  </si>
  <si>
    <t>At-risk: average below</t>
  </si>
  <si>
    <t>Assumption: students within 5 points of the pass mark need monitoring.</t>
  </si>
  <si>
    <t>At-risk: attendance % below</t>
  </si>
  <si>
    <t>Assumption: below 75% attendance is a common early-warning level.</t>
  </si>
  <si>
    <t>Grade scale</t>
  </si>
  <si>
    <t>Min Average</t>
  </si>
  <si>
    <t>Letter Grade</t>
  </si>
  <si>
    <t>F</t>
  </si>
  <si>
    <t>D</t>
  </si>
  <si>
    <t>C</t>
  </si>
  <si>
    <t>B</t>
  </si>
  <si>
    <t>A</t>
  </si>
  <si>
    <t>Assumption: simple A-F scale. Keep minimums in ascending order (used by LOOKUP).</t>
  </si>
  <si>
    <t>Study-hours bands</t>
  </si>
  <si>
    <t>Min hrs/week</t>
  </si>
  <si>
    <t>Band</t>
  </si>
  <si>
    <t>0 to 4 hrs</t>
  </si>
  <si>
    <t>5 to 9 hrs</t>
  </si>
  <si>
    <t>10 to 14 hrs</t>
  </si>
  <si>
    <t>15 to 19 hrs</t>
  </si>
  <si>
    <t>20+ hrs</t>
  </si>
  <si>
    <t>Bands are labels only; change minimums to re-bucket students.</t>
  </si>
  <si>
    <t>Attendance bands</t>
  </si>
  <si>
    <t>Min attendance %</t>
  </si>
  <si>
    <t>Below 75%</t>
  </si>
  <si>
    <t>75 to 84%</t>
  </si>
  <si>
    <t>85 to 94%</t>
  </si>
  <si>
    <t>95 to 100%</t>
  </si>
  <si>
    <t>Data Dictionary</t>
  </si>
  <si>
    <t>Column</t>
  </si>
  <si>
    <t>Type</t>
  </si>
  <si>
    <t>Description</t>
  </si>
  <si>
    <t>Source</t>
  </si>
  <si>
    <t>Text</t>
  </si>
  <si>
    <t>Anonymous ID (S001-S300)</t>
  </si>
  <si>
    <t>Input</t>
  </si>
  <si>
    <t>Female / Male</t>
  </si>
  <si>
    <t>Grade 10 / 11 / 12</t>
  </si>
  <si>
    <t>Number</t>
  </si>
  <si>
    <t>Self-reported study hours per week</t>
  </si>
  <si>
    <t>Percentage of school days attended (0-100)</t>
  </si>
  <si>
    <t>Highest parental education: Basic / Secondary / Tertiary</t>
  </si>
  <si>
    <t>Internet at home: Yes / No</t>
  </si>
  <si>
    <t>Takes part in clubs/sports: Yes / No</t>
  </si>
  <si>
    <t>Math, English, Science, Social_Studies, ICT</t>
  </si>
  <si>
    <t>Subject scores out of 100</t>
  </si>
  <si>
    <t>Mean of the five subject scores, 1 decimal</t>
  </si>
  <si>
    <t>Formula</t>
  </si>
  <si>
    <t>A-F from the grade scale on Settings</t>
  </si>
  <si>
    <t>Pass if Average &gt;= pass mark on Settings</t>
  </si>
  <si>
    <t>Study-hours bucket from Settings</t>
  </si>
  <si>
    <t>Attendance bucket from Settings</t>
  </si>
  <si>
    <t>Yes if Average &lt; at-risk average OR attendance &lt; at-risk attendance</t>
  </si>
  <si>
    <t>Unique rank by Average (1 = highest); ties broken by row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</si>
</sst>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+0.0;\-0.0;0.0"/>
  </numFmts>
  <fonts count="13" x14ac:knownFonts="1">
    <font>
      <sz val="11"/>
      <color theme="1"/>
      <name val="Calibri"/>
      <family val="2"/>
      <charset val="1"/>
    </font>
    <font>
      <b/>
      <sz val="20"/>
      <color rgb="FF1F3864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18"/>
      <color rgb="FF1F3864"/>
      <name val="Arial"/>
      <family val="2"/>
    </font>
    <font>
      <b/>
      <sz val="13"/>
      <color rgb="FF1F3864"/>
      <name val="Arial"/>
      <family val="2"/>
    </font>
    <font>
      <b/>
      <sz val="16"/>
      <color rgb="FF1F3864"/>
      <name val="Arial"/>
      <family val="2"/>
    </font>
    <font>
      <b/>
      <sz val="12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DEBF7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5" fillId="3" borderId="0" xfId="0" applyNumberFormat="1" applyFont="1" applyFill="1" applyBorder="1" applyAlignment="1">
      <alignment horizontal="center" vertical="center" wrapText="1"/>
    </xf>
    <xf numFmtId="165" fontId="4" fillId="3" borderId="0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horizontal="center" vertical="center" wrapText="1"/>
    </xf>
    <xf numFmtId="3" fontId="4" fillId="3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  <xf numFmtId="0" fontId="8" fillId="0" borderId="0" xfId="0" applyFont="1"/>
    <xf numFmtId="0" fontId="9" fillId="3" borderId="1" xfId="0" applyFont="1" applyFill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10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6" fontId="8" fillId="0" borderId="1" xfId="0" applyNumberFormat="1" applyFont="1" applyBorder="1"/>
    <xf numFmtId="164" fontId="9" fillId="3" borderId="1" xfId="0" applyNumberFormat="1" applyFont="1" applyFill="1" applyBorder="1"/>
    <xf numFmtId="165" fontId="9" fillId="3" borderId="1" xfId="0" applyNumberFormat="1" applyFont="1" applyFill="1" applyBorder="1"/>
    <xf numFmtId="0" fontId="11" fillId="0" borderId="1" xfId="0" applyFont="1" applyBorder="1"/>
    <xf numFmtId="2" fontId="8" fillId="0" borderId="1" xfId="0" applyNumberFormat="1" applyFont="1" applyBorder="1"/>
    <xf numFmtId="0" fontId="12" fillId="0" borderId="1" xfId="0" applyFont="1" applyBorder="1"/>
    <xf numFmtId="0" fontId="12" fillId="0" borderId="0" xfId="0" applyFont="1"/>
    <xf numFmtId="164" fontId="12" fillId="0" borderId="0" xfId="0" applyNumberFormat="1" applyFont="1"/>
    <xf numFmtId="164" fontId="8" fillId="0" borderId="0" xfId="0" applyNumberFormat="1" applyFont="1"/>
    <xf numFmtId="0" fontId="12" fillId="5" borderId="1" xfId="0" applyFont="1" applyFill="1" applyBorder="1"/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7030A0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90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score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Analysis!$A$18:$A$22</c:f>
              <c:strCache>
                <c:ptCount val="5"/>
                <c:pt idx="0">
                  <c:v>Math</c:v>
                </c:pt>
                <c:pt idx="1">
                  <c:v>English</c:v>
                </c:pt>
                <c:pt idx="2">
                  <c:v>Science</c:v>
                </c:pt>
                <c:pt idx="3">
                  <c:v>Social_Studies</c:v>
                </c:pt>
                <c:pt idx="4">
                  <c:v>ICT</c:v>
                </c:pt>
              </c:strCache>
            </c:strRef>
          </c:cat>
          <c:val>
            <c:numRef>
              <c:f>Analysis!$B$18:$B$22</c:f>
              <c:numCache>
                <c:formatCode>0.0</c:formatCode>
                <c:ptCount val="5"/>
                <c:pt idx="0">
                  <c:v>61.656666666666666</c:v>
                </c:pt>
                <c:pt idx="1">
                  <c:v>61.726666666666667</c:v>
                </c:pt>
                <c:pt idx="2">
                  <c:v>61.25333333333333</c:v>
                </c:pt>
                <c:pt idx="3">
                  <c:v>62.006666666666668</c:v>
                </c:pt>
                <c:pt idx="4">
                  <c:v>61.363333333333337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2-4A47-BE95-EEA0AE244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70650"/>
        <c:axId val="32164833"/>
      </c:barChart>
      <c:catAx>
        <c:axId val="25170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64833"/>
        <c:crosses val="autoZero"/>
        <c:auto val="1"/>
        <c:lblAlgn val="ctr"/>
        <c:lblOffset val="100"/>
        <c:noMultiLvlLbl val="0"/>
      </c:catAx>
      <c:valAx>
        <c:axId val="32164833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706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score by weekly study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Analysis!$A$66:$A$70</c:f>
              <c:strCache>
                <c:ptCount val="5"/>
                <c:pt idx="0">
                  <c:v>0 to 4 hrs</c:v>
                </c:pt>
                <c:pt idx="1">
                  <c:v>5 to 9 hrs</c:v>
                </c:pt>
                <c:pt idx="2">
                  <c:v>10 to 14 hrs</c:v>
                </c:pt>
                <c:pt idx="3">
                  <c:v>15 to 19 hrs</c:v>
                </c:pt>
                <c:pt idx="4">
                  <c:v>20+ hrs</c:v>
                </c:pt>
              </c:strCache>
            </c:strRef>
          </c:cat>
          <c:val>
            <c:numRef>
              <c:f>Analysis!$C$66:$C$70</c:f>
              <c:numCache>
                <c:formatCode>0.0</c:formatCode>
                <c:ptCount val="5"/>
                <c:pt idx="0">
                  <c:v>50.028571428571425</c:v>
                </c:pt>
                <c:pt idx="1">
                  <c:v>58.156097560975589</c:v>
                </c:pt>
                <c:pt idx="2">
                  <c:v>62.441025641025647</c:v>
                </c:pt>
                <c:pt idx="3">
                  <c:v>69.592452830188677</c:v>
                </c:pt>
                <c:pt idx="4">
                  <c:v>74.353846153846149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1-493A-A81E-39F761A42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6674"/>
        <c:axId val="67650647"/>
      </c:barChart>
      <c:catAx>
        <c:axId val="70866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650647"/>
        <c:crosses val="autoZero"/>
        <c:auto val="1"/>
        <c:lblAlgn val="ctr"/>
        <c:lblOffset val="100"/>
        <c:noMultiLvlLbl val="0"/>
      </c:catAx>
      <c:valAx>
        <c:axId val="67650647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66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score by attendance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55A1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Analysis!$A$75:$A$78</c:f>
              <c:strCache>
                <c:ptCount val="4"/>
                <c:pt idx="0">
                  <c:v>Below 75%</c:v>
                </c:pt>
                <c:pt idx="1">
                  <c:v>75 to 84%</c:v>
                </c:pt>
                <c:pt idx="2">
                  <c:v>85 to 94%</c:v>
                </c:pt>
                <c:pt idx="3">
                  <c:v>95 to 100%</c:v>
                </c:pt>
              </c:strCache>
            </c:strRef>
          </c:cat>
          <c:val>
            <c:numRef>
              <c:f>Analysis!$C$75:$C$78</c:f>
              <c:numCache>
                <c:formatCode>0.0</c:formatCode>
                <c:ptCount val="4"/>
                <c:pt idx="0">
                  <c:v>55.08124999999999</c:v>
                </c:pt>
                <c:pt idx="1">
                  <c:v>58.678504672897191</c:v>
                </c:pt>
                <c:pt idx="2">
                  <c:v>64.546153846153857</c:v>
                </c:pt>
                <c:pt idx="3">
                  <c:v>66.07096774193549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7-4BC1-80BC-43F3E2867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87869"/>
        <c:axId val="41008204"/>
      </c:barChart>
      <c:catAx>
        <c:axId val="978878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08204"/>
        <c:crosses val="autoZero"/>
        <c:auto val="1"/>
        <c:lblAlgn val="ctr"/>
        <c:lblOffset val="100"/>
        <c:noMultiLvlLbl val="0"/>
      </c:catAx>
      <c:valAx>
        <c:axId val="41008204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8878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Letter-grade distribution (students)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Analysis!$A$83:$A$87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Analysis!$B$83:$B$87</c:f>
              <c:numCache>
                <c:formatCode>General</c:formatCode>
                <c:ptCount val="5"/>
                <c:pt idx="0">
                  <c:v>3</c:v>
                </c:pt>
                <c:pt idx="1">
                  <c:v>58</c:v>
                </c:pt>
                <c:pt idx="2">
                  <c:v>117</c:v>
                </c:pt>
                <c:pt idx="3">
                  <c:v>89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0-4816-81A9-F8E3AA00C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73346"/>
        <c:axId val="75808001"/>
      </c:barChart>
      <c:catAx>
        <c:axId val="52773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08001"/>
        <c:crosses val="autoZero"/>
        <c:auto val="1"/>
        <c:lblAlgn val="ctr"/>
        <c:lblOffset val="100"/>
        <c:noMultiLvlLbl val="0"/>
      </c:catAx>
      <c:valAx>
        <c:axId val="7580800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73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Average score by parental education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F9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Analysis!$A$47:$A$49</c:f>
              <c:strCache>
                <c:ptCount val="3"/>
                <c:pt idx="0">
                  <c:v>Basic</c:v>
                </c:pt>
                <c:pt idx="1">
                  <c:v>Secondary</c:v>
                </c:pt>
                <c:pt idx="2">
                  <c:v>Tertiary</c:v>
                </c:pt>
              </c:strCache>
            </c:strRef>
          </c:cat>
          <c:val>
            <c:numRef>
              <c:f>Analysis!$C$47:$C$49</c:f>
              <c:numCache>
                <c:formatCode>0.0</c:formatCode>
                <c:ptCount val="3"/>
                <c:pt idx="0">
                  <c:v>58.703225806451606</c:v>
                </c:pt>
                <c:pt idx="1">
                  <c:v>62.286153846153844</c:v>
                </c:pt>
                <c:pt idx="2">
                  <c:v>63.94545454545456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6-42DB-95C2-4ACD6F49F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17855"/>
        <c:axId val="4230043"/>
      </c:barChart>
      <c:catAx>
        <c:axId val="2441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0043"/>
        <c:crosses val="autoZero"/>
        <c:auto val="1"/>
        <c:lblAlgn val="ctr"/>
        <c:lblOffset val="100"/>
        <c:noMultiLvlLbl val="0"/>
      </c:catAx>
      <c:valAx>
        <c:axId val="4230043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4178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Study hours vs average score (each dot = 1 student)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Students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Data!$D$2:$D$301</c:f>
              <c:numCache>
                <c:formatCode>0.0</c:formatCode>
                <c:ptCount val="300"/>
                <c:pt idx="0">
                  <c:v>16.8</c:v>
                </c:pt>
                <c:pt idx="1">
                  <c:v>8.4</c:v>
                </c:pt>
                <c:pt idx="2">
                  <c:v>7.7</c:v>
                </c:pt>
                <c:pt idx="3">
                  <c:v>14.3</c:v>
                </c:pt>
                <c:pt idx="4">
                  <c:v>16.899999999999999</c:v>
                </c:pt>
                <c:pt idx="5">
                  <c:v>12.2</c:v>
                </c:pt>
                <c:pt idx="6">
                  <c:v>5.6</c:v>
                </c:pt>
                <c:pt idx="7">
                  <c:v>5.2</c:v>
                </c:pt>
                <c:pt idx="8">
                  <c:v>4.9000000000000004</c:v>
                </c:pt>
                <c:pt idx="9">
                  <c:v>3.2</c:v>
                </c:pt>
                <c:pt idx="10">
                  <c:v>12.5</c:v>
                </c:pt>
                <c:pt idx="11">
                  <c:v>17.600000000000001</c:v>
                </c:pt>
                <c:pt idx="12">
                  <c:v>11.9</c:v>
                </c:pt>
                <c:pt idx="13">
                  <c:v>1</c:v>
                </c:pt>
                <c:pt idx="14">
                  <c:v>11</c:v>
                </c:pt>
                <c:pt idx="15">
                  <c:v>11.2</c:v>
                </c:pt>
                <c:pt idx="16">
                  <c:v>22.5</c:v>
                </c:pt>
                <c:pt idx="17">
                  <c:v>4.7</c:v>
                </c:pt>
                <c:pt idx="18">
                  <c:v>10</c:v>
                </c:pt>
                <c:pt idx="19">
                  <c:v>20.5</c:v>
                </c:pt>
                <c:pt idx="20">
                  <c:v>14.2</c:v>
                </c:pt>
                <c:pt idx="21">
                  <c:v>14.8</c:v>
                </c:pt>
                <c:pt idx="22">
                  <c:v>12.6</c:v>
                </c:pt>
                <c:pt idx="23">
                  <c:v>13.6</c:v>
                </c:pt>
                <c:pt idx="24">
                  <c:v>15.9</c:v>
                </c:pt>
                <c:pt idx="25">
                  <c:v>8</c:v>
                </c:pt>
                <c:pt idx="26">
                  <c:v>16.399999999999999</c:v>
                </c:pt>
                <c:pt idx="27">
                  <c:v>5.0999999999999996</c:v>
                </c:pt>
                <c:pt idx="28">
                  <c:v>13.6</c:v>
                </c:pt>
                <c:pt idx="29">
                  <c:v>12.9</c:v>
                </c:pt>
                <c:pt idx="30">
                  <c:v>8.9</c:v>
                </c:pt>
                <c:pt idx="31">
                  <c:v>11.9</c:v>
                </c:pt>
                <c:pt idx="32">
                  <c:v>8.9</c:v>
                </c:pt>
                <c:pt idx="33">
                  <c:v>6.6</c:v>
                </c:pt>
                <c:pt idx="34">
                  <c:v>10.199999999999999</c:v>
                </c:pt>
                <c:pt idx="35">
                  <c:v>6.5</c:v>
                </c:pt>
                <c:pt idx="36">
                  <c:v>13.6</c:v>
                </c:pt>
                <c:pt idx="37">
                  <c:v>6.2</c:v>
                </c:pt>
                <c:pt idx="38">
                  <c:v>15.6</c:v>
                </c:pt>
                <c:pt idx="39">
                  <c:v>6.1</c:v>
                </c:pt>
                <c:pt idx="40">
                  <c:v>9.1999999999999993</c:v>
                </c:pt>
                <c:pt idx="41">
                  <c:v>8.9</c:v>
                </c:pt>
                <c:pt idx="42">
                  <c:v>18.600000000000001</c:v>
                </c:pt>
                <c:pt idx="43">
                  <c:v>13.7</c:v>
                </c:pt>
                <c:pt idx="44">
                  <c:v>10.9</c:v>
                </c:pt>
                <c:pt idx="45">
                  <c:v>14.5</c:v>
                </c:pt>
                <c:pt idx="46">
                  <c:v>1.5</c:v>
                </c:pt>
                <c:pt idx="47">
                  <c:v>11.8</c:v>
                </c:pt>
                <c:pt idx="48">
                  <c:v>22</c:v>
                </c:pt>
                <c:pt idx="49">
                  <c:v>12.7</c:v>
                </c:pt>
                <c:pt idx="50">
                  <c:v>12.3</c:v>
                </c:pt>
                <c:pt idx="51">
                  <c:v>14.7</c:v>
                </c:pt>
                <c:pt idx="52">
                  <c:v>16.5</c:v>
                </c:pt>
                <c:pt idx="53">
                  <c:v>2</c:v>
                </c:pt>
                <c:pt idx="54">
                  <c:v>3.6</c:v>
                </c:pt>
                <c:pt idx="55">
                  <c:v>13.1</c:v>
                </c:pt>
                <c:pt idx="56">
                  <c:v>8.4</c:v>
                </c:pt>
                <c:pt idx="57">
                  <c:v>18.600000000000001</c:v>
                </c:pt>
                <c:pt idx="58">
                  <c:v>10.4</c:v>
                </c:pt>
                <c:pt idx="59">
                  <c:v>2.2999999999999998</c:v>
                </c:pt>
                <c:pt idx="60">
                  <c:v>5.7</c:v>
                </c:pt>
                <c:pt idx="61">
                  <c:v>1</c:v>
                </c:pt>
                <c:pt idx="62">
                  <c:v>10.8</c:v>
                </c:pt>
                <c:pt idx="63">
                  <c:v>11.1</c:v>
                </c:pt>
                <c:pt idx="64">
                  <c:v>9.9</c:v>
                </c:pt>
                <c:pt idx="65">
                  <c:v>17.399999999999999</c:v>
                </c:pt>
                <c:pt idx="66">
                  <c:v>18</c:v>
                </c:pt>
                <c:pt idx="67">
                  <c:v>11.1</c:v>
                </c:pt>
                <c:pt idx="68">
                  <c:v>1.3</c:v>
                </c:pt>
                <c:pt idx="69">
                  <c:v>15.1</c:v>
                </c:pt>
                <c:pt idx="70">
                  <c:v>14.8</c:v>
                </c:pt>
                <c:pt idx="71">
                  <c:v>13.5</c:v>
                </c:pt>
                <c:pt idx="72">
                  <c:v>16.899999999999999</c:v>
                </c:pt>
                <c:pt idx="73">
                  <c:v>6.2</c:v>
                </c:pt>
                <c:pt idx="74">
                  <c:v>22</c:v>
                </c:pt>
                <c:pt idx="75">
                  <c:v>7.2</c:v>
                </c:pt>
                <c:pt idx="76">
                  <c:v>15.7</c:v>
                </c:pt>
                <c:pt idx="77">
                  <c:v>3.6</c:v>
                </c:pt>
                <c:pt idx="78">
                  <c:v>7.3</c:v>
                </c:pt>
                <c:pt idx="79">
                  <c:v>19.600000000000001</c:v>
                </c:pt>
                <c:pt idx="80">
                  <c:v>10.7</c:v>
                </c:pt>
                <c:pt idx="81">
                  <c:v>16.2</c:v>
                </c:pt>
                <c:pt idx="82">
                  <c:v>13.2</c:v>
                </c:pt>
                <c:pt idx="83">
                  <c:v>11.5</c:v>
                </c:pt>
                <c:pt idx="84">
                  <c:v>18.8</c:v>
                </c:pt>
                <c:pt idx="85">
                  <c:v>10.8</c:v>
                </c:pt>
                <c:pt idx="86">
                  <c:v>3.1</c:v>
                </c:pt>
                <c:pt idx="87">
                  <c:v>8</c:v>
                </c:pt>
                <c:pt idx="88">
                  <c:v>14.8</c:v>
                </c:pt>
                <c:pt idx="89">
                  <c:v>14</c:v>
                </c:pt>
                <c:pt idx="90">
                  <c:v>4.2</c:v>
                </c:pt>
                <c:pt idx="91">
                  <c:v>8.4</c:v>
                </c:pt>
                <c:pt idx="92">
                  <c:v>9.1</c:v>
                </c:pt>
                <c:pt idx="93">
                  <c:v>10.199999999999999</c:v>
                </c:pt>
                <c:pt idx="94">
                  <c:v>5.0999999999999996</c:v>
                </c:pt>
                <c:pt idx="95">
                  <c:v>8.9</c:v>
                </c:pt>
                <c:pt idx="96">
                  <c:v>8.4</c:v>
                </c:pt>
                <c:pt idx="97">
                  <c:v>15.9</c:v>
                </c:pt>
                <c:pt idx="98">
                  <c:v>16</c:v>
                </c:pt>
                <c:pt idx="99">
                  <c:v>11.3</c:v>
                </c:pt>
                <c:pt idx="100">
                  <c:v>10</c:v>
                </c:pt>
                <c:pt idx="101">
                  <c:v>12.7</c:v>
                </c:pt>
                <c:pt idx="102">
                  <c:v>7.9</c:v>
                </c:pt>
                <c:pt idx="103">
                  <c:v>6.3</c:v>
                </c:pt>
                <c:pt idx="104">
                  <c:v>7.3</c:v>
                </c:pt>
                <c:pt idx="105">
                  <c:v>8.8000000000000007</c:v>
                </c:pt>
                <c:pt idx="106">
                  <c:v>6.2</c:v>
                </c:pt>
                <c:pt idx="107">
                  <c:v>12.8</c:v>
                </c:pt>
                <c:pt idx="108">
                  <c:v>15.6</c:v>
                </c:pt>
                <c:pt idx="109">
                  <c:v>4.0999999999999996</c:v>
                </c:pt>
                <c:pt idx="110">
                  <c:v>12.1</c:v>
                </c:pt>
                <c:pt idx="111">
                  <c:v>10.9</c:v>
                </c:pt>
                <c:pt idx="112">
                  <c:v>13.7</c:v>
                </c:pt>
                <c:pt idx="113">
                  <c:v>11.9</c:v>
                </c:pt>
                <c:pt idx="114">
                  <c:v>4.7</c:v>
                </c:pt>
                <c:pt idx="115">
                  <c:v>5.7</c:v>
                </c:pt>
                <c:pt idx="116">
                  <c:v>12.1</c:v>
                </c:pt>
                <c:pt idx="117">
                  <c:v>17.100000000000001</c:v>
                </c:pt>
                <c:pt idx="118">
                  <c:v>1</c:v>
                </c:pt>
                <c:pt idx="119">
                  <c:v>13.7</c:v>
                </c:pt>
                <c:pt idx="120">
                  <c:v>17.899999999999999</c:v>
                </c:pt>
                <c:pt idx="121">
                  <c:v>11.2</c:v>
                </c:pt>
                <c:pt idx="122">
                  <c:v>14.8</c:v>
                </c:pt>
                <c:pt idx="123">
                  <c:v>8.5</c:v>
                </c:pt>
                <c:pt idx="124">
                  <c:v>11.4</c:v>
                </c:pt>
                <c:pt idx="125">
                  <c:v>3.9</c:v>
                </c:pt>
                <c:pt idx="126">
                  <c:v>1</c:v>
                </c:pt>
                <c:pt idx="127">
                  <c:v>16.7</c:v>
                </c:pt>
                <c:pt idx="128">
                  <c:v>7.1</c:v>
                </c:pt>
                <c:pt idx="129">
                  <c:v>9.6999999999999993</c:v>
                </c:pt>
                <c:pt idx="130">
                  <c:v>5.0999999999999996</c:v>
                </c:pt>
                <c:pt idx="131">
                  <c:v>5</c:v>
                </c:pt>
                <c:pt idx="132">
                  <c:v>11.1</c:v>
                </c:pt>
                <c:pt idx="133">
                  <c:v>8.4</c:v>
                </c:pt>
                <c:pt idx="134">
                  <c:v>13.9</c:v>
                </c:pt>
                <c:pt idx="135">
                  <c:v>14.3</c:v>
                </c:pt>
                <c:pt idx="136">
                  <c:v>13.6</c:v>
                </c:pt>
                <c:pt idx="137">
                  <c:v>13.2</c:v>
                </c:pt>
                <c:pt idx="138">
                  <c:v>19.899999999999999</c:v>
                </c:pt>
                <c:pt idx="139">
                  <c:v>6.7</c:v>
                </c:pt>
                <c:pt idx="140">
                  <c:v>11.7</c:v>
                </c:pt>
                <c:pt idx="141">
                  <c:v>17.7</c:v>
                </c:pt>
                <c:pt idx="142">
                  <c:v>18.3</c:v>
                </c:pt>
                <c:pt idx="143">
                  <c:v>4.9000000000000004</c:v>
                </c:pt>
                <c:pt idx="144">
                  <c:v>10.4</c:v>
                </c:pt>
                <c:pt idx="145">
                  <c:v>18.8</c:v>
                </c:pt>
                <c:pt idx="146">
                  <c:v>14.5</c:v>
                </c:pt>
                <c:pt idx="147">
                  <c:v>13</c:v>
                </c:pt>
                <c:pt idx="148">
                  <c:v>10.9</c:v>
                </c:pt>
                <c:pt idx="149">
                  <c:v>10.1</c:v>
                </c:pt>
                <c:pt idx="150">
                  <c:v>13.4</c:v>
                </c:pt>
                <c:pt idx="151">
                  <c:v>10.7</c:v>
                </c:pt>
                <c:pt idx="152">
                  <c:v>11.8</c:v>
                </c:pt>
                <c:pt idx="153">
                  <c:v>12.4</c:v>
                </c:pt>
                <c:pt idx="154">
                  <c:v>8.6</c:v>
                </c:pt>
                <c:pt idx="155">
                  <c:v>14.7</c:v>
                </c:pt>
                <c:pt idx="156">
                  <c:v>26.6</c:v>
                </c:pt>
                <c:pt idx="157">
                  <c:v>3.1</c:v>
                </c:pt>
                <c:pt idx="158">
                  <c:v>13.6</c:v>
                </c:pt>
                <c:pt idx="159">
                  <c:v>8.1999999999999993</c:v>
                </c:pt>
                <c:pt idx="160">
                  <c:v>14.9</c:v>
                </c:pt>
                <c:pt idx="161">
                  <c:v>12.2</c:v>
                </c:pt>
                <c:pt idx="162">
                  <c:v>15.8</c:v>
                </c:pt>
                <c:pt idx="163">
                  <c:v>17.899999999999999</c:v>
                </c:pt>
                <c:pt idx="164">
                  <c:v>13</c:v>
                </c:pt>
                <c:pt idx="165">
                  <c:v>17.7</c:v>
                </c:pt>
                <c:pt idx="166">
                  <c:v>1</c:v>
                </c:pt>
                <c:pt idx="167">
                  <c:v>20</c:v>
                </c:pt>
                <c:pt idx="168">
                  <c:v>13.9</c:v>
                </c:pt>
                <c:pt idx="169">
                  <c:v>17.399999999999999</c:v>
                </c:pt>
                <c:pt idx="170">
                  <c:v>5.9</c:v>
                </c:pt>
                <c:pt idx="171">
                  <c:v>7.8</c:v>
                </c:pt>
                <c:pt idx="172">
                  <c:v>12.7</c:v>
                </c:pt>
                <c:pt idx="173">
                  <c:v>11.9</c:v>
                </c:pt>
                <c:pt idx="174">
                  <c:v>13.4</c:v>
                </c:pt>
                <c:pt idx="175">
                  <c:v>17.399999999999999</c:v>
                </c:pt>
                <c:pt idx="176">
                  <c:v>3.2</c:v>
                </c:pt>
                <c:pt idx="177">
                  <c:v>16.899999999999999</c:v>
                </c:pt>
                <c:pt idx="178">
                  <c:v>12</c:v>
                </c:pt>
                <c:pt idx="179">
                  <c:v>11</c:v>
                </c:pt>
                <c:pt idx="180">
                  <c:v>4.5999999999999996</c:v>
                </c:pt>
                <c:pt idx="181">
                  <c:v>14.5</c:v>
                </c:pt>
                <c:pt idx="182">
                  <c:v>1</c:v>
                </c:pt>
                <c:pt idx="183">
                  <c:v>15.2</c:v>
                </c:pt>
                <c:pt idx="184">
                  <c:v>4.5</c:v>
                </c:pt>
                <c:pt idx="185">
                  <c:v>12.3</c:v>
                </c:pt>
                <c:pt idx="186">
                  <c:v>11.4</c:v>
                </c:pt>
                <c:pt idx="187">
                  <c:v>17.8</c:v>
                </c:pt>
                <c:pt idx="188">
                  <c:v>11.1</c:v>
                </c:pt>
                <c:pt idx="189">
                  <c:v>8.5</c:v>
                </c:pt>
                <c:pt idx="190">
                  <c:v>9.5</c:v>
                </c:pt>
                <c:pt idx="191">
                  <c:v>18.399999999999999</c:v>
                </c:pt>
                <c:pt idx="192">
                  <c:v>14.7</c:v>
                </c:pt>
                <c:pt idx="193">
                  <c:v>10.1</c:v>
                </c:pt>
                <c:pt idx="194">
                  <c:v>10.8</c:v>
                </c:pt>
                <c:pt idx="195">
                  <c:v>4.2</c:v>
                </c:pt>
                <c:pt idx="196">
                  <c:v>13.9</c:v>
                </c:pt>
                <c:pt idx="197">
                  <c:v>3.2</c:v>
                </c:pt>
                <c:pt idx="198">
                  <c:v>15.8</c:v>
                </c:pt>
                <c:pt idx="199">
                  <c:v>12.6</c:v>
                </c:pt>
                <c:pt idx="200">
                  <c:v>23.9</c:v>
                </c:pt>
                <c:pt idx="201">
                  <c:v>6.5</c:v>
                </c:pt>
                <c:pt idx="202">
                  <c:v>11.5</c:v>
                </c:pt>
                <c:pt idx="203">
                  <c:v>21</c:v>
                </c:pt>
                <c:pt idx="204">
                  <c:v>18</c:v>
                </c:pt>
                <c:pt idx="205">
                  <c:v>8.5</c:v>
                </c:pt>
                <c:pt idx="206">
                  <c:v>13.1</c:v>
                </c:pt>
                <c:pt idx="207">
                  <c:v>12</c:v>
                </c:pt>
                <c:pt idx="208">
                  <c:v>13.4</c:v>
                </c:pt>
                <c:pt idx="209">
                  <c:v>8.5</c:v>
                </c:pt>
                <c:pt idx="210">
                  <c:v>11.6</c:v>
                </c:pt>
                <c:pt idx="211">
                  <c:v>4</c:v>
                </c:pt>
                <c:pt idx="212">
                  <c:v>12.7</c:v>
                </c:pt>
                <c:pt idx="213">
                  <c:v>14.3</c:v>
                </c:pt>
                <c:pt idx="214">
                  <c:v>10.9</c:v>
                </c:pt>
                <c:pt idx="215">
                  <c:v>3.9</c:v>
                </c:pt>
                <c:pt idx="216">
                  <c:v>16.899999999999999</c:v>
                </c:pt>
                <c:pt idx="217">
                  <c:v>13.8</c:v>
                </c:pt>
                <c:pt idx="218">
                  <c:v>8.4</c:v>
                </c:pt>
                <c:pt idx="219">
                  <c:v>10.6</c:v>
                </c:pt>
                <c:pt idx="220">
                  <c:v>4.5</c:v>
                </c:pt>
                <c:pt idx="221">
                  <c:v>6.9</c:v>
                </c:pt>
                <c:pt idx="222">
                  <c:v>9.3000000000000007</c:v>
                </c:pt>
                <c:pt idx="223">
                  <c:v>18.100000000000001</c:v>
                </c:pt>
                <c:pt idx="224">
                  <c:v>8.8000000000000007</c:v>
                </c:pt>
                <c:pt idx="225">
                  <c:v>15.2</c:v>
                </c:pt>
                <c:pt idx="226">
                  <c:v>9.3000000000000007</c:v>
                </c:pt>
                <c:pt idx="227">
                  <c:v>13.2</c:v>
                </c:pt>
                <c:pt idx="228">
                  <c:v>11.3</c:v>
                </c:pt>
                <c:pt idx="229">
                  <c:v>16.399999999999999</c:v>
                </c:pt>
                <c:pt idx="230">
                  <c:v>9.3000000000000007</c:v>
                </c:pt>
                <c:pt idx="231">
                  <c:v>4.0999999999999996</c:v>
                </c:pt>
                <c:pt idx="232">
                  <c:v>5.0999999999999996</c:v>
                </c:pt>
                <c:pt idx="233">
                  <c:v>9.3000000000000007</c:v>
                </c:pt>
                <c:pt idx="234">
                  <c:v>5.8</c:v>
                </c:pt>
                <c:pt idx="235">
                  <c:v>14.1</c:v>
                </c:pt>
                <c:pt idx="236">
                  <c:v>9.6999999999999993</c:v>
                </c:pt>
                <c:pt idx="237">
                  <c:v>23.9</c:v>
                </c:pt>
                <c:pt idx="238">
                  <c:v>3.3</c:v>
                </c:pt>
                <c:pt idx="239">
                  <c:v>13</c:v>
                </c:pt>
                <c:pt idx="240">
                  <c:v>6.4</c:v>
                </c:pt>
                <c:pt idx="241">
                  <c:v>9.5</c:v>
                </c:pt>
                <c:pt idx="242">
                  <c:v>12.7</c:v>
                </c:pt>
                <c:pt idx="243">
                  <c:v>1</c:v>
                </c:pt>
                <c:pt idx="244">
                  <c:v>13.2</c:v>
                </c:pt>
                <c:pt idx="245">
                  <c:v>21.5</c:v>
                </c:pt>
                <c:pt idx="246">
                  <c:v>9.6999999999999993</c:v>
                </c:pt>
                <c:pt idx="247">
                  <c:v>13.3</c:v>
                </c:pt>
                <c:pt idx="248">
                  <c:v>17.100000000000001</c:v>
                </c:pt>
                <c:pt idx="249">
                  <c:v>11.2</c:v>
                </c:pt>
                <c:pt idx="250">
                  <c:v>9.1</c:v>
                </c:pt>
                <c:pt idx="251">
                  <c:v>1</c:v>
                </c:pt>
                <c:pt idx="252">
                  <c:v>15.2</c:v>
                </c:pt>
                <c:pt idx="253">
                  <c:v>11.4</c:v>
                </c:pt>
                <c:pt idx="254">
                  <c:v>6.9</c:v>
                </c:pt>
                <c:pt idx="255">
                  <c:v>12.6</c:v>
                </c:pt>
                <c:pt idx="256">
                  <c:v>9.1</c:v>
                </c:pt>
                <c:pt idx="257">
                  <c:v>9.4</c:v>
                </c:pt>
                <c:pt idx="258">
                  <c:v>15</c:v>
                </c:pt>
                <c:pt idx="259">
                  <c:v>5.3</c:v>
                </c:pt>
                <c:pt idx="260">
                  <c:v>17.2</c:v>
                </c:pt>
                <c:pt idx="261">
                  <c:v>5</c:v>
                </c:pt>
                <c:pt idx="262">
                  <c:v>8.6999999999999993</c:v>
                </c:pt>
                <c:pt idx="263">
                  <c:v>21.6</c:v>
                </c:pt>
                <c:pt idx="264">
                  <c:v>17.600000000000001</c:v>
                </c:pt>
                <c:pt idx="265">
                  <c:v>12.5</c:v>
                </c:pt>
                <c:pt idx="266">
                  <c:v>7.3</c:v>
                </c:pt>
                <c:pt idx="267">
                  <c:v>9.4</c:v>
                </c:pt>
                <c:pt idx="268">
                  <c:v>12.4</c:v>
                </c:pt>
                <c:pt idx="269">
                  <c:v>12.2</c:v>
                </c:pt>
                <c:pt idx="270">
                  <c:v>11.5</c:v>
                </c:pt>
                <c:pt idx="271">
                  <c:v>11.8</c:v>
                </c:pt>
                <c:pt idx="272">
                  <c:v>10.9</c:v>
                </c:pt>
                <c:pt idx="273">
                  <c:v>4.8</c:v>
                </c:pt>
                <c:pt idx="274">
                  <c:v>9.4</c:v>
                </c:pt>
                <c:pt idx="275">
                  <c:v>16.600000000000001</c:v>
                </c:pt>
                <c:pt idx="276">
                  <c:v>5.2</c:v>
                </c:pt>
                <c:pt idx="277">
                  <c:v>11.1</c:v>
                </c:pt>
                <c:pt idx="278">
                  <c:v>7.9</c:v>
                </c:pt>
                <c:pt idx="279">
                  <c:v>12.6</c:v>
                </c:pt>
                <c:pt idx="280">
                  <c:v>10.1</c:v>
                </c:pt>
                <c:pt idx="281">
                  <c:v>19.399999999999999</c:v>
                </c:pt>
                <c:pt idx="282">
                  <c:v>14.5</c:v>
                </c:pt>
                <c:pt idx="283">
                  <c:v>5.4</c:v>
                </c:pt>
                <c:pt idx="284">
                  <c:v>15.4</c:v>
                </c:pt>
                <c:pt idx="285">
                  <c:v>8.1</c:v>
                </c:pt>
                <c:pt idx="286">
                  <c:v>9.1</c:v>
                </c:pt>
                <c:pt idx="287">
                  <c:v>13.6</c:v>
                </c:pt>
                <c:pt idx="288">
                  <c:v>9.5</c:v>
                </c:pt>
                <c:pt idx="289">
                  <c:v>16.5</c:v>
                </c:pt>
                <c:pt idx="290">
                  <c:v>8.1</c:v>
                </c:pt>
                <c:pt idx="291">
                  <c:v>8.9</c:v>
                </c:pt>
                <c:pt idx="292">
                  <c:v>8.6999999999999993</c:v>
                </c:pt>
                <c:pt idx="293">
                  <c:v>9.1999999999999993</c:v>
                </c:pt>
                <c:pt idx="294">
                  <c:v>17.5</c:v>
                </c:pt>
                <c:pt idx="295">
                  <c:v>15.1</c:v>
                </c:pt>
                <c:pt idx="296">
                  <c:v>20.5</c:v>
                </c:pt>
                <c:pt idx="297">
                  <c:v>23.3</c:v>
                </c:pt>
                <c:pt idx="298">
                  <c:v>6.8</c:v>
                </c:pt>
                <c:pt idx="299">
                  <c:v>12.4</c:v>
                </c:pt>
              </c:numCache>
            </c:numRef>
          </c:xVal>
          <c:yVal>
            <c:numRef>
              <c:f>Data!$N$2:$N$301</c:f>
              <c:numCache>
                <c:formatCode>0.0</c:formatCode>
                <c:ptCount val="300"/>
                <c:pt idx="0">
                  <c:v>59.6</c:v>
                </c:pt>
                <c:pt idx="1">
                  <c:v>64.400000000000006</c:v>
                </c:pt>
                <c:pt idx="2">
                  <c:v>58.2</c:v>
                </c:pt>
                <c:pt idx="3">
                  <c:v>65.2</c:v>
                </c:pt>
                <c:pt idx="4">
                  <c:v>70</c:v>
                </c:pt>
                <c:pt idx="5">
                  <c:v>68.8</c:v>
                </c:pt>
                <c:pt idx="6">
                  <c:v>58.8</c:v>
                </c:pt>
                <c:pt idx="7">
                  <c:v>50.6</c:v>
                </c:pt>
                <c:pt idx="8">
                  <c:v>56.4</c:v>
                </c:pt>
                <c:pt idx="9">
                  <c:v>56</c:v>
                </c:pt>
                <c:pt idx="10">
                  <c:v>60.6</c:v>
                </c:pt>
                <c:pt idx="11">
                  <c:v>62.8</c:v>
                </c:pt>
                <c:pt idx="12">
                  <c:v>49.2</c:v>
                </c:pt>
                <c:pt idx="13">
                  <c:v>52.8</c:v>
                </c:pt>
                <c:pt idx="14">
                  <c:v>57</c:v>
                </c:pt>
                <c:pt idx="15">
                  <c:v>47</c:v>
                </c:pt>
                <c:pt idx="16">
                  <c:v>78.2</c:v>
                </c:pt>
                <c:pt idx="17">
                  <c:v>51</c:v>
                </c:pt>
                <c:pt idx="18">
                  <c:v>41.4</c:v>
                </c:pt>
                <c:pt idx="19">
                  <c:v>74.2</c:v>
                </c:pt>
                <c:pt idx="20">
                  <c:v>78.2</c:v>
                </c:pt>
                <c:pt idx="21">
                  <c:v>73.2</c:v>
                </c:pt>
                <c:pt idx="22">
                  <c:v>53.6</c:v>
                </c:pt>
                <c:pt idx="23">
                  <c:v>64.2</c:v>
                </c:pt>
                <c:pt idx="24">
                  <c:v>76.400000000000006</c:v>
                </c:pt>
                <c:pt idx="25">
                  <c:v>67.400000000000006</c:v>
                </c:pt>
                <c:pt idx="26">
                  <c:v>67.599999999999994</c:v>
                </c:pt>
                <c:pt idx="27">
                  <c:v>45.8</c:v>
                </c:pt>
                <c:pt idx="28">
                  <c:v>64.599999999999994</c:v>
                </c:pt>
                <c:pt idx="29">
                  <c:v>67.400000000000006</c:v>
                </c:pt>
                <c:pt idx="30">
                  <c:v>56</c:v>
                </c:pt>
                <c:pt idx="31">
                  <c:v>72.599999999999994</c:v>
                </c:pt>
                <c:pt idx="32">
                  <c:v>58.6</c:v>
                </c:pt>
                <c:pt idx="33">
                  <c:v>59.6</c:v>
                </c:pt>
                <c:pt idx="34">
                  <c:v>51.2</c:v>
                </c:pt>
                <c:pt idx="35">
                  <c:v>60</c:v>
                </c:pt>
                <c:pt idx="36">
                  <c:v>65.400000000000006</c:v>
                </c:pt>
                <c:pt idx="37">
                  <c:v>53.4</c:v>
                </c:pt>
                <c:pt idx="38">
                  <c:v>56.4</c:v>
                </c:pt>
                <c:pt idx="39">
                  <c:v>66.599999999999994</c:v>
                </c:pt>
                <c:pt idx="40">
                  <c:v>64.2</c:v>
                </c:pt>
                <c:pt idx="41">
                  <c:v>58.4</c:v>
                </c:pt>
                <c:pt idx="42">
                  <c:v>70.2</c:v>
                </c:pt>
                <c:pt idx="43">
                  <c:v>68.8</c:v>
                </c:pt>
                <c:pt idx="44">
                  <c:v>64.2</c:v>
                </c:pt>
                <c:pt idx="45">
                  <c:v>62</c:v>
                </c:pt>
                <c:pt idx="46">
                  <c:v>48.6</c:v>
                </c:pt>
                <c:pt idx="47">
                  <c:v>55.2</c:v>
                </c:pt>
                <c:pt idx="48">
                  <c:v>66.8</c:v>
                </c:pt>
                <c:pt idx="49">
                  <c:v>65</c:v>
                </c:pt>
                <c:pt idx="50">
                  <c:v>63</c:v>
                </c:pt>
                <c:pt idx="51">
                  <c:v>70.400000000000006</c:v>
                </c:pt>
                <c:pt idx="52">
                  <c:v>72.2</c:v>
                </c:pt>
                <c:pt idx="53">
                  <c:v>44.6</c:v>
                </c:pt>
                <c:pt idx="54">
                  <c:v>56.4</c:v>
                </c:pt>
                <c:pt idx="55">
                  <c:v>62</c:v>
                </c:pt>
                <c:pt idx="56">
                  <c:v>59.4</c:v>
                </c:pt>
                <c:pt idx="57">
                  <c:v>72.2</c:v>
                </c:pt>
                <c:pt idx="58">
                  <c:v>67</c:v>
                </c:pt>
                <c:pt idx="59">
                  <c:v>46.6</c:v>
                </c:pt>
                <c:pt idx="60">
                  <c:v>45.8</c:v>
                </c:pt>
                <c:pt idx="61">
                  <c:v>55.8</c:v>
                </c:pt>
                <c:pt idx="62">
                  <c:v>58.6</c:v>
                </c:pt>
                <c:pt idx="63">
                  <c:v>63</c:v>
                </c:pt>
                <c:pt idx="64">
                  <c:v>54.6</c:v>
                </c:pt>
                <c:pt idx="65">
                  <c:v>77</c:v>
                </c:pt>
                <c:pt idx="66">
                  <c:v>88.6</c:v>
                </c:pt>
                <c:pt idx="67">
                  <c:v>62.6</c:v>
                </c:pt>
                <c:pt idx="68">
                  <c:v>47.8</c:v>
                </c:pt>
                <c:pt idx="69">
                  <c:v>73.8</c:v>
                </c:pt>
                <c:pt idx="70">
                  <c:v>65</c:v>
                </c:pt>
                <c:pt idx="71">
                  <c:v>79.8</c:v>
                </c:pt>
                <c:pt idx="72">
                  <c:v>65.599999999999994</c:v>
                </c:pt>
                <c:pt idx="73">
                  <c:v>53.8</c:v>
                </c:pt>
                <c:pt idx="74">
                  <c:v>76.599999999999994</c:v>
                </c:pt>
                <c:pt idx="75">
                  <c:v>52.8</c:v>
                </c:pt>
                <c:pt idx="76">
                  <c:v>71.400000000000006</c:v>
                </c:pt>
                <c:pt idx="77">
                  <c:v>58</c:v>
                </c:pt>
                <c:pt idx="78">
                  <c:v>61.8</c:v>
                </c:pt>
                <c:pt idx="79">
                  <c:v>75.599999999999994</c:v>
                </c:pt>
                <c:pt idx="80">
                  <c:v>53.2</c:v>
                </c:pt>
                <c:pt idx="81">
                  <c:v>67.2</c:v>
                </c:pt>
                <c:pt idx="82">
                  <c:v>75</c:v>
                </c:pt>
                <c:pt idx="83">
                  <c:v>59</c:v>
                </c:pt>
                <c:pt idx="84">
                  <c:v>66</c:v>
                </c:pt>
                <c:pt idx="85">
                  <c:v>51.4</c:v>
                </c:pt>
                <c:pt idx="86">
                  <c:v>50.6</c:v>
                </c:pt>
                <c:pt idx="87">
                  <c:v>62.6</c:v>
                </c:pt>
                <c:pt idx="88">
                  <c:v>71.400000000000006</c:v>
                </c:pt>
                <c:pt idx="89">
                  <c:v>67.8</c:v>
                </c:pt>
                <c:pt idx="90">
                  <c:v>51.2</c:v>
                </c:pt>
                <c:pt idx="91">
                  <c:v>60.8</c:v>
                </c:pt>
                <c:pt idx="92">
                  <c:v>48.4</c:v>
                </c:pt>
                <c:pt idx="93">
                  <c:v>57</c:v>
                </c:pt>
                <c:pt idx="94">
                  <c:v>57.2</c:v>
                </c:pt>
                <c:pt idx="95">
                  <c:v>55.6</c:v>
                </c:pt>
                <c:pt idx="96">
                  <c:v>60.8</c:v>
                </c:pt>
                <c:pt idx="97">
                  <c:v>68.8</c:v>
                </c:pt>
                <c:pt idx="98">
                  <c:v>65.2</c:v>
                </c:pt>
                <c:pt idx="99">
                  <c:v>52.6</c:v>
                </c:pt>
                <c:pt idx="100">
                  <c:v>57.4</c:v>
                </c:pt>
                <c:pt idx="101">
                  <c:v>51</c:v>
                </c:pt>
                <c:pt idx="102">
                  <c:v>67.2</c:v>
                </c:pt>
                <c:pt idx="103">
                  <c:v>63.8</c:v>
                </c:pt>
                <c:pt idx="104">
                  <c:v>56.8</c:v>
                </c:pt>
                <c:pt idx="105">
                  <c:v>60.2</c:v>
                </c:pt>
                <c:pt idx="106">
                  <c:v>66.2</c:v>
                </c:pt>
                <c:pt idx="107">
                  <c:v>63</c:v>
                </c:pt>
                <c:pt idx="108">
                  <c:v>63.6</c:v>
                </c:pt>
                <c:pt idx="109">
                  <c:v>50</c:v>
                </c:pt>
                <c:pt idx="110">
                  <c:v>67</c:v>
                </c:pt>
                <c:pt idx="111">
                  <c:v>53.8</c:v>
                </c:pt>
                <c:pt idx="112">
                  <c:v>62.6</c:v>
                </c:pt>
                <c:pt idx="113">
                  <c:v>53</c:v>
                </c:pt>
                <c:pt idx="114">
                  <c:v>54</c:v>
                </c:pt>
                <c:pt idx="115">
                  <c:v>51.6</c:v>
                </c:pt>
                <c:pt idx="116">
                  <c:v>65.2</c:v>
                </c:pt>
                <c:pt idx="117">
                  <c:v>70.599999999999994</c:v>
                </c:pt>
                <c:pt idx="118">
                  <c:v>52.2</c:v>
                </c:pt>
                <c:pt idx="119">
                  <c:v>62</c:v>
                </c:pt>
                <c:pt idx="120">
                  <c:v>83.6</c:v>
                </c:pt>
                <c:pt idx="121">
                  <c:v>61.6</c:v>
                </c:pt>
                <c:pt idx="122">
                  <c:v>55.6</c:v>
                </c:pt>
                <c:pt idx="123">
                  <c:v>55.8</c:v>
                </c:pt>
                <c:pt idx="124">
                  <c:v>45.8</c:v>
                </c:pt>
                <c:pt idx="125">
                  <c:v>52</c:v>
                </c:pt>
                <c:pt idx="126">
                  <c:v>37.200000000000003</c:v>
                </c:pt>
                <c:pt idx="127">
                  <c:v>65.400000000000006</c:v>
                </c:pt>
                <c:pt idx="128">
                  <c:v>62.4</c:v>
                </c:pt>
                <c:pt idx="129">
                  <c:v>66.599999999999994</c:v>
                </c:pt>
                <c:pt idx="130">
                  <c:v>63.4</c:v>
                </c:pt>
                <c:pt idx="131">
                  <c:v>37.4</c:v>
                </c:pt>
                <c:pt idx="132">
                  <c:v>49.6</c:v>
                </c:pt>
                <c:pt idx="133">
                  <c:v>44.4</c:v>
                </c:pt>
                <c:pt idx="134">
                  <c:v>70.8</c:v>
                </c:pt>
                <c:pt idx="135">
                  <c:v>57.4</c:v>
                </c:pt>
                <c:pt idx="136">
                  <c:v>59.6</c:v>
                </c:pt>
                <c:pt idx="137">
                  <c:v>61.4</c:v>
                </c:pt>
                <c:pt idx="138">
                  <c:v>71</c:v>
                </c:pt>
                <c:pt idx="139">
                  <c:v>49.4</c:v>
                </c:pt>
                <c:pt idx="140">
                  <c:v>56.8</c:v>
                </c:pt>
                <c:pt idx="141">
                  <c:v>71.599999999999994</c:v>
                </c:pt>
                <c:pt idx="142">
                  <c:v>78.599999999999994</c:v>
                </c:pt>
                <c:pt idx="143">
                  <c:v>54.8</c:v>
                </c:pt>
                <c:pt idx="144">
                  <c:v>67</c:v>
                </c:pt>
                <c:pt idx="145">
                  <c:v>67.8</c:v>
                </c:pt>
                <c:pt idx="146">
                  <c:v>70.8</c:v>
                </c:pt>
                <c:pt idx="147">
                  <c:v>65.8</c:v>
                </c:pt>
                <c:pt idx="148">
                  <c:v>64.400000000000006</c:v>
                </c:pt>
                <c:pt idx="149">
                  <c:v>60</c:v>
                </c:pt>
                <c:pt idx="150">
                  <c:v>61.8</c:v>
                </c:pt>
                <c:pt idx="151">
                  <c:v>68.8</c:v>
                </c:pt>
                <c:pt idx="152">
                  <c:v>71</c:v>
                </c:pt>
                <c:pt idx="153">
                  <c:v>67.2</c:v>
                </c:pt>
                <c:pt idx="154">
                  <c:v>55.4</c:v>
                </c:pt>
                <c:pt idx="155">
                  <c:v>56.6</c:v>
                </c:pt>
                <c:pt idx="156">
                  <c:v>77</c:v>
                </c:pt>
                <c:pt idx="157">
                  <c:v>60.4</c:v>
                </c:pt>
                <c:pt idx="158">
                  <c:v>60.6</c:v>
                </c:pt>
                <c:pt idx="159">
                  <c:v>43.8</c:v>
                </c:pt>
                <c:pt idx="160">
                  <c:v>60</c:v>
                </c:pt>
                <c:pt idx="161">
                  <c:v>64.400000000000006</c:v>
                </c:pt>
                <c:pt idx="162">
                  <c:v>65.599999999999994</c:v>
                </c:pt>
                <c:pt idx="163">
                  <c:v>66.400000000000006</c:v>
                </c:pt>
                <c:pt idx="164">
                  <c:v>67.8</c:v>
                </c:pt>
                <c:pt idx="165">
                  <c:v>67</c:v>
                </c:pt>
                <c:pt idx="166">
                  <c:v>48.6</c:v>
                </c:pt>
                <c:pt idx="167">
                  <c:v>74</c:v>
                </c:pt>
                <c:pt idx="168">
                  <c:v>78.599999999999994</c:v>
                </c:pt>
                <c:pt idx="169">
                  <c:v>78.8</c:v>
                </c:pt>
                <c:pt idx="170">
                  <c:v>46.6</c:v>
                </c:pt>
                <c:pt idx="171">
                  <c:v>54.4</c:v>
                </c:pt>
                <c:pt idx="172">
                  <c:v>60.6</c:v>
                </c:pt>
                <c:pt idx="173">
                  <c:v>71.8</c:v>
                </c:pt>
                <c:pt idx="174">
                  <c:v>50.2</c:v>
                </c:pt>
                <c:pt idx="175">
                  <c:v>73.400000000000006</c:v>
                </c:pt>
                <c:pt idx="176">
                  <c:v>50.4</c:v>
                </c:pt>
                <c:pt idx="177">
                  <c:v>66</c:v>
                </c:pt>
                <c:pt idx="178">
                  <c:v>61.6</c:v>
                </c:pt>
                <c:pt idx="179">
                  <c:v>67</c:v>
                </c:pt>
                <c:pt idx="180">
                  <c:v>55.4</c:v>
                </c:pt>
                <c:pt idx="181">
                  <c:v>68.400000000000006</c:v>
                </c:pt>
                <c:pt idx="182">
                  <c:v>32.200000000000003</c:v>
                </c:pt>
                <c:pt idx="183">
                  <c:v>66</c:v>
                </c:pt>
                <c:pt idx="184">
                  <c:v>57.2</c:v>
                </c:pt>
                <c:pt idx="185">
                  <c:v>51.8</c:v>
                </c:pt>
                <c:pt idx="186">
                  <c:v>49.8</c:v>
                </c:pt>
                <c:pt idx="187">
                  <c:v>66.400000000000006</c:v>
                </c:pt>
                <c:pt idx="188">
                  <c:v>62</c:v>
                </c:pt>
                <c:pt idx="189">
                  <c:v>73.400000000000006</c:v>
                </c:pt>
                <c:pt idx="190">
                  <c:v>48.6</c:v>
                </c:pt>
                <c:pt idx="191">
                  <c:v>73</c:v>
                </c:pt>
                <c:pt idx="192">
                  <c:v>70.400000000000006</c:v>
                </c:pt>
                <c:pt idx="193">
                  <c:v>45.2</c:v>
                </c:pt>
                <c:pt idx="194">
                  <c:v>65.2</c:v>
                </c:pt>
                <c:pt idx="195">
                  <c:v>43.4</c:v>
                </c:pt>
                <c:pt idx="196">
                  <c:v>68.400000000000006</c:v>
                </c:pt>
                <c:pt idx="197">
                  <c:v>42</c:v>
                </c:pt>
                <c:pt idx="198">
                  <c:v>69.599999999999994</c:v>
                </c:pt>
                <c:pt idx="199">
                  <c:v>64.599999999999994</c:v>
                </c:pt>
                <c:pt idx="200">
                  <c:v>67.400000000000006</c:v>
                </c:pt>
                <c:pt idx="201">
                  <c:v>51.6</c:v>
                </c:pt>
                <c:pt idx="202">
                  <c:v>62.4</c:v>
                </c:pt>
                <c:pt idx="203">
                  <c:v>77.599999999999994</c:v>
                </c:pt>
                <c:pt idx="204">
                  <c:v>70.8</c:v>
                </c:pt>
                <c:pt idx="205">
                  <c:v>60.8</c:v>
                </c:pt>
                <c:pt idx="206">
                  <c:v>70.599999999999994</c:v>
                </c:pt>
                <c:pt idx="207">
                  <c:v>60.6</c:v>
                </c:pt>
                <c:pt idx="208">
                  <c:v>50.8</c:v>
                </c:pt>
                <c:pt idx="209">
                  <c:v>62.6</c:v>
                </c:pt>
                <c:pt idx="210">
                  <c:v>61.4</c:v>
                </c:pt>
                <c:pt idx="211">
                  <c:v>42.6</c:v>
                </c:pt>
                <c:pt idx="212">
                  <c:v>73.8</c:v>
                </c:pt>
                <c:pt idx="213">
                  <c:v>71.2</c:v>
                </c:pt>
                <c:pt idx="214">
                  <c:v>55.4</c:v>
                </c:pt>
                <c:pt idx="215">
                  <c:v>36.6</c:v>
                </c:pt>
                <c:pt idx="216">
                  <c:v>56.4</c:v>
                </c:pt>
                <c:pt idx="217">
                  <c:v>70.8</c:v>
                </c:pt>
                <c:pt idx="218">
                  <c:v>62.2</c:v>
                </c:pt>
                <c:pt idx="219">
                  <c:v>47.4</c:v>
                </c:pt>
                <c:pt idx="220">
                  <c:v>54.8</c:v>
                </c:pt>
                <c:pt idx="221">
                  <c:v>54</c:v>
                </c:pt>
                <c:pt idx="222">
                  <c:v>59.6</c:v>
                </c:pt>
                <c:pt idx="223">
                  <c:v>79</c:v>
                </c:pt>
                <c:pt idx="224">
                  <c:v>67.400000000000006</c:v>
                </c:pt>
                <c:pt idx="225">
                  <c:v>67.400000000000006</c:v>
                </c:pt>
                <c:pt idx="226">
                  <c:v>64.2</c:v>
                </c:pt>
                <c:pt idx="227">
                  <c:v>71.2</c:v>
                </c:pt>
                <c:pt idx="228">
                  <c:v>69.400000000000006</c:v>
                </c:pt>
                <c:pt idx="229">
                  <c:v>51.4</c:v>
                </c:pt>
                <c:pt idx="230">
                  <c:v>53.6</c:v>
                </c:pt>
                <c:pt idx="231">
                  <c:v>61.8</c:v>
                </c:pt>
                <c:pt idx="232">
                  <c:v>60.8</c:v>
                </c:pt>
                <c:pt idx="233">
                  <c:v>57.2</c:v>
                </c:pt>
                <c:pt idx="234">
                  <c:v>55.4</c:v>
                </c:pt>
                <c:pt idx="235">
                  <c:v>70.599999999999994</c:v>
                </c:pt>
                <c:pt idx="236">
                  <c:v>78.2</c:v>
                </c:pt>
                <c:pt idx="237">
                  <c:v>78.8</c:v>
                </c:pt>
                <c:pt idx="238">
                  <c:v>45.6</c:v>
                </c:pt>
                <c:pt idx="239">
                  <c:v>69.599999999999994</c:v>
                </c:pt>
                <c:pt idx="240">
                  <c:v>48</c:v>
                </c:pt>
                <c:pt idx="241">
                  <c:v>56.2</c:v>
                </c:pt>
                <c:pt idx="242">
                  <c:v>50.4</c:v>
                </c:pt>
                <c:pt idx="243">
                  <c:v>43.8</c:v>
                </c:pt>
                <c:pt idx="244">
                  <c:v>65</c:v>
                </c:pt>
                <c:pt idx="245">
                  <c:v>77.2</c:v>
                </c:pt>
                <c:pt idx="246">
                  <c:v>65.599999999999994</c:v>
                </c:pt>
                <c:pt idx="247">
                  <c:v>59.8</c:v>
                </c:pt>
                <c:pt idx="248">
                  <c:v>79</c:v>
                </c:pt>
                <c:pt idx="249">
                  <c:v>63.4</c:v>
                </c:pt>
                <c:pt idx="250">
                  <c:v>56.4</c:v>
                </c:pt>
                <c:pt idx="251">
                  <c:v>49.6</c:v>
                </c:pt>
                <c:pt idx="252">
                  <c:v>77.599999999999994</c:v>
                </c:pt>
                <c:pt idx="253">
                  <c:v>62</c:v>
                </c:pt>
                <c:pt idx="254">
                  <c:v>62.8</c:v>
                </c:pt>
                <c:pt idx="255">
                  <c:v>67.8</c:v>
                </c:pt>
                <c:pt idx="256">
                  <c:v>59.2</c:v>
                </c:pt>
                <c:pt idx="257">
                  <c:v>68.599999999999994</c:v>
                </c:pt>
                <c:pt idx="258">
                  <c:v>82.4</c:v>
                </c:pt>
                <c:pt idx="259">
                  <c:v>56.2</c:v>
                </c:pt>
                <c:pt idx="260">
                  <c:v>72.599999999999994</c:v>
                </c:pt>
                <c:pt idx="261">
                  <c:v>58.8</c:v>
                </c:pt>
                <c:pt idx="262">
                  <c:v>63.2</c:v>
                </c:pt>
                <c:pt idx="263">
                  <c:v>72.2</c:v>
                </c:pt>
                <c:pt idx="264">
                  <c:v>51.2</c:v>
                </c:pt>
                <c:pt idx="265">
                  <c:v>64</c:v>
                </c:pt>
                <c:pt idx="266">
                  <c:v>50.4</c:v>
                </c:pt>
                <c:pt idx="267">
                  <c:v>64.599999999999994</c:v>
                </c:pt>
                <c:pt idx="268">
                  <c:v>56.6</c:v>
                </c:pt>
                <c:pt idx="269">
                  <c:v>62</c:v>
                </c:pt>
                <c:pt idx="270">
                  <c:v>60.4</c:v>
                </c:pt>
                <c:pt idx="271">
                  <c:v>53.6</c:v>
                </c:pt>
                <c:pt idx="272">
                  <c:v>70</c:v>
                </c:pt>
                <c:pt idx="273">
                  <c:v>50.6</c:v>
                </c:pt>
                <c:pt idx="274">
                  <c:v>59.6</c:v>
                </c:pt>
                <c:pt idx="275">
                  <c:v>69</c:v>
                </c:pt>
                <c:pt idx="276">
                  <c:v>68</c:v>
                </c:pt>
                <c:pt idx="277">
                  <c:v>70.400000000000006</c:v>
                </c:pt>
                <c:pt idx="278">
                  <c:v>62.2</c:v>
                </c:pt>
                <c:pt idx="279">
                  <c:v>65</c:v>
                </c:pt>
                <c:pt idx="280">
                  <c:v>70.400000000000006</c:v>
                </c:pt>
                <c:pt idx="281">
                  <c:v>75.8</c:v>
                </c:pt>
                <c:pt idx="282">
                  <c:v>62.8</c:v>
                </c:pt>
                <c:pt idx="283">
                  <c:v>53.4</c:v>
                </c:pt>
                <c:pt idx="284">
                  <c:v>68.599999999999994</c:v>
                </c:pt>
                <c:pt idx="285">
                  <c:v>44.8</c:v>
                </c:pt>
                <c:pt idx="286">
                  <c:v>64.2</c:v>
                </c:pt>
                <c:pt idx="287">
                  <c:v>60.4</c:v>
                </c:pt>
                <c:pt idx="288">
                  <c:v>68</c:v>
                </c:pt>
                <c:pt idx="289">
                  <c:v>74.2</c:v>
                </c:pt>
                <c:pt idx="290">
                  <c:v>62.2</c:v>
                </c:pt>
                <c:pt idx="291">
                  <c:v>57.8</c:v>
                </c:pt>
                <c:pt idx="292">
                  <c:v>54.8</c:v>
                </c:pt>
                <c:pt idx="293">
                  <c:v>54.4</c:v>
                </c:pt>
                <c:pt idx="294">
                  <c:v>64.8</c:v>
                </c:pt>
                <c:pt idx="295">
                  <c:v>57.2</c:v>
                </c:pt>
                <c:pt idx="296">
                  <c:v>71.2</c:v>
                </c:pt>
                <c:pt idx="297">
                  <c:v>75.400000000000006</c:v>
                </c:pt>
                <c:pt idx="298">
                  <c:v>58.8</c:v>
                </c:pt>
                <c:pt idx="299">
                  <c:v>67.400000000000006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25-4DAF-B410-094787F6B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73527"/>
        <c:axId val="13174162"/>
      </c:scatterChart>
      <c:valAx>
        <c:axId val="66573527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Study hours per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74162"/>
        <c:crosses val="autoZero"/>
        <c:crossBetween val="midCat"/>
      </c:valAx>
      <c:valAx>
        <c:axId val="13174162"/>
        <c:scaling>
          <c:orientation val="minMax"/>
          <c:max val="100"/>
          <c:min val="2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7352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6</xdr:row>
      <xdr:rowOff>146760</xdr:rowOff>
    </xdr:from>
    <xdr:to>
      <xdr:col>7</xdr:col>
      <xdr:colOff>354000</xdr:colOff>
      <xdr:row>21</xdr:row>
      <xdr:rowOff>32280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60960</xdr:colOff>
      <xdr:row>6</xdr:row>
      <xdr:rowOff>131520</xdr:rowOff>
    </xdr:from>
    <xdr:to>
      <xdr:col>15</xdr:col>
      <xdr:colOff>79680</xdr:colOff>
      <xdr:row>21</xdr:row>
      <xdr:rowOff>17040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259080</xdr:colOff>
      <xdr:row>23</xdr:row>
      <xdr:rowOff>78180</xdr:rowOff>
    </xdr:from>
    <xdr:to>
      <xdr:col>7</xdr:col>
      <xdr:colOff>277800</xdr:colOff>
      <xdr:row>37</xdr:row>
      <xdr:rowOff>146580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53340</xdr:colOff>
      <xdr:row>23</xdr:row>
      <xdr:rowOff>62940</xdr:rowOff>
    </xdr:from>
    <xdr:to>
      <xdr:col>15</xdr:col>
      <xdr:colOff>72060</xdr:colOff>
      <xdr:row>37</xdr:row>
      <xdr:rowOff>131340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259080</xdr:colOff>
      <xdr:row>40</xdr:row>
      <xdr:rowOff>70560</xdr:rowOff>
    </xdr:from>
    <xdr:to>
      <xdr:col>7</xdr:col>
      <xdr:colOff>277800</xdr:colOff>
      <xdr:row>54</xdr:row>
      <xdr:rowOff>139320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45720</xdr:colOff>
      <xdr:row>40</xdr:row>
      <xdr:rowOff>55320</xdr:rowOff>
    </xdr:from>
    <xdr:to>
      <xdr:col>15</xdr:col>
      <xdr:colOff>64440</xdr:colOff>
      <xdr:row>54</xdr:row>
      <xdr:rowOff>124080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showGridLines="0" topLeftCell="A15" zoomScaleNormal="100" workbookViewId="0"/>
  </sheetViews>
  <sheetFormatPr defaultColWidth="8.6640625" defaultRowHeight="14.4" x14ac:dyDescent="0.3"/>
  <cols>
    <col min="1" max="1" width="130" customWidth="1"/>
  </cols>
  <sheetData>
    <row r="1" spans="1:1" ht="21" x14ac:dyDescent="0.4">
      <c r="A1" s="8" t="s">
        <v>8</v>
      </c>
    </row>
    <row r="2" spans="1:1" x14ac:dyDescent="0.3">
      <c r="A2" s="7" t="s">
        <v>9</v>
      </c>
    </row>
    <row r="4" spans="1:1" ht="15.6" x14ac:dyDescent="0.3">
      <c r="A4" s="9" t="s">
        <v>10</v>
      </c>
    </row>
    <row r="5" spans="1:1" ht="31.5" customHeight="1" x14ac:dyDescent="0.3">
      <c r="A5" s="10" t="str">
        <f>"1. Overall: the cohort averages "&amp;TEXT(Analysis!B6,"0.0")&amp;" and "&amp;TEXT(Analysis!B7,"0.0%")&amp;" of students pass (pass mark "&amp;Settings!B3&amp;")."</f>
        <v>1. Overall: the cohort averages 61.6 and 89.0% of students pass (pass mark 50).</v>
      </c>
    </row>
    <row r="6" spans="1:1" ht="31.5" customHeight="1" x14ac:dyDescent="0.3">
      <c r="A6" s="10" t="str">
        <f>"2. Subjects: "&amp;Dashboard!P5&amp;" is the weakest subject and "&amp;Dashboard!M5&amp;" the strongest (averages "&amp;TEXT(MIN(Analysis!B18:B22),"0.0")&amp;" and "&amp;TEXT(MAX(Analysis!B18:B22),"0.0")&amp;")."</f>
        <v>2. Subjects: Science is the weakest subject and Social_Studies the strongest (averages 61.3 and 62.0).</v>
      </c>
    </row>
    <row r="7" spans="1:1" ht="31.5" customHeight="1" x14ac:dyDescent="0.3">
      <c r="A7" s="10" t="str">
        <f>"3. Study time: students in the "&amp;Analysis!A70&amp;" band average "&amp;TEXT(Analysis!C70,"0.0")&amp;", versus "&amp;TEXT(Analysis!C66,"0.0")&amp;" for the "&amp;Analysis!A66&amp;" band (r = "&amp;TEXT(Analysis!B91,"0.00")&amp;", "&amp;LOWER(Analysis!C91)&amp;")."</f>
        <v>3. Study time: students in the 20+ hrs band average 74.4, versus 50.0 for the 0 to 4 hrs band (r = 0.68, strong).</v>
      </c>
    </row>
    <row r="8" spans="1:1" ht="31.5" customHeight="1" x14ac:dyDescent="0.3">
      <c r="A8" s="10" t="str">
        <f>"4. Attendance: the "&amp;Analysis!A78&amp;" band averages "&amp;TEXT(Analysis!C78,"0.0")&amp;" versus "&amp;TEXT(Analysis!C75,"0.0")&amp;" for "&amp;Analysis!A75&amp;" (r = "&amp;TEXT(Analysis!B92,"0.00")&amp;", "&amp;LOWER(Analysis!C92)&amp;")."</f>
        <v>4. Attendance: the 95 to 100% band averages 66.1 versus 55.1 for Below 75% (r = 0.40, moderate).</v>
      </c>
    </row>
    <row r="9" spans="1:1" ht="31.5" customHeight="1" x14ac:dyDescent="0.3">
      <c r="A9" s="10" t="str">
        <f>"5. Gender: females lead English by "&amp;TEXT(Analysis!D27,"0.0")&amp;" points; males lead Math by "&amp;TEXT(-Analysis!D26,"0.0")&amp;" points. Overall averages are "&amp;TEXT(Analysis!C34,"0.0")&amp;" (F) and "&amp;TEXT(Analysis!C35,"0.0")&amp;" (M)."</f>
        <v>5. Gender: females lead English by 4.5 points; males lead Math by 2.6 points. Overall averages are 61.6 (F) and 61.6 (M).</v>
      </c>
    </row>
    <row r="10" spans="1:1" ht="31.5" customHeight="1" x14ac:dyDescent="0.3">
      <c r="A10" s="10" t="str">
        <f>"6. Home support: students with internet access average "&amp;TEXT(Analysis!C54,"0.0")&amp;" versus "&amp;TEXT(Analysis!C55,"0.0")&amp;" without; tertiary-educated parents: "&amp;TEXT(Analysis!C49,"0.0")&amp;" vs "&amp;TEXT(Analysis!C47,"0.0")&amp;" for basic."</f>
        <v>6. Home support: students with internet access average 62.9 versus 59.0 without; tertiary-educated parents: 63.9 vs 58.7 for basic.</v>
      </c>
    </row>
    <row r="11" spans="1:1" ht="31.5" customHeight="1" x14ac:dyDescent="0.3">
      <c r="A11" s="10" t="str">
        <f>"7. Risk: "&amp;Analysis!B12&amp;" students ("&amp;TEXT(Analysis!B13,"0.0%")&amp;") are flagged at-risk (average below "&amp;Settings!B4&amp;" or attendance below "&amp;Settings!B5&amp;"%)."</f>
        <v>7. Risk: 92 students (30.7%) are flagged at-risk (average below 55 or attendance below 75%).</v>
      </c>
    </row>
    <row r="13" spans="1:1" ht="15.6" x14ac:dyDescent="0.3">
      <c r="A13" s="9" t="s">
        <v>11</v>
      </c>
    </row>
    <row r="14" spans="1:1" ht="27.75" customHeight="1" x14ac:dyDescent="0.3">
      <c r="A14" s="10" t="s">
        <v>12</v>
      </c>
    </row>
    <row r="15" spans="1:1" ht="27.75" customHeight="1" x14ac:dyDescent="0.3">
      <c r="A15" s="10" t="s">
        <v>13</v>
      </c>
    </row>
    <row r="16" spans="1:1" ht="27.75" customHeight="1" x14ac:dyDescent="0.3">
      <c r="A16" s="10" t="s">
        <v>14</v>
      </c>
    </row>
    <row r="17" spans="1:1" ht="27.75" customHeight="1" x14ac:dyDescent="0.3">
      <c r="A17" s="10" t="s">
        <v>15</v>
      </c>
    </row>
    <row r="18" spans="1:1" ht="27.75" customHeight="1" x14ac:dyDescent="0.3">
      <c r="A18" s="10" t="s">
        <v>16</v>
      </c>
    </row>
    <row r="20" spans="1:1" ht="15.6" x14ac:dyDescent="0.3">
      <c r="A20" s="9" t="s">
        <v>17</v>
      </c>
    </row>
    <row r="21" spans="1:1" ht="27.75" customHeight="1" x14ac:dyDescent="0.3">
      <c r="A21" s="10" t="s">
        <v>18</v>
      </c>
    </row>
    <row r="22" spans="1:1" ht="27.75" customHeight="1" x14ac:dyDescent="0.3">
      <c r="A22" s="10" t="s">
        <v>19</v>
      </c>
    </row>
    <row r="23" spans="1:1" ht="27.75" customHeight="1" x14ac:dyDescent="0.3">
      <c r="A23" s="10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showGridLines="0" topLeftCell="K1" zoomScaleNormal="100" workbookViewId="0">
      <selection activeCell="P5" sqref="P5:Q6"/>
    </sheetView>
  </sheetViews>
  <sheetFormatPr defaultColWidth="8.6640625" defaultRowHeight="14.4" x14ac:dyDescent="0.3"/>
  <cols>
    <col min="1" max="19" width="12" customWidth="1"/>
  </cols>
  <sheetData>
    <row r="1" spans="1:17" ht="24.6" x14ac:dyDescent="0.4">
      <c r="A1" s="6" t="s">
        <v>0</v>
      </c>
    </row>
    <row r="2" spans="1:17" x14ac:dyDescent="0.3">
      <c r="A2" s="7" t="s">
        <v>1</v>
      </c>
    </row>
    <row r="4" spans="1:17" ht="19.5" customHeight="1" x14ac:dyDescent="0.3">
      <c r="A4" s="5" t="s">
        <v>2</v>
      </c>
      <c r="B4" s="5"/>
      <c r="D4" s="5" t="s">
        <v>3</v>
      </c>
      <c r="E4" s="5"/>
      <c r="G4" s="5" t="s">
        <v>4</v>
      </c>
      <c r="H4" s="5"/>
      <c r="J4" s="5" t="s">
        <v>5</v>
      </c>
      <c r="K4" s="5"/>
      <c r="M4" s="5" t="s">
        <v>6</v>
      </c>
      <c r="N4" s="5"/>
      <c r="P4" s="5" t="s">
        <v>7</v>
      </c>
      <c r="Q4" s="5"/>
    </row>
    <row r="5" spans="1:17" ht="21.75" customHeight="1" x14ac:dyDescent="0.3">
      <c r="A5" s="4">
        <f>Analysis!B5</f>
        <v>300</v>
      </c>
      <c r="B5" s="4"/>
      <c r="D5" s="3">
        <f>Analysis!B6</f>
        <v>61.601333333333329</v>
      </c>
      <c r="E5" s="3"/>
      <c r="G5" s="2">
        <f>Analysis!B7</f>
        <v>0.89</v>
      </c>
      <c r="H5" s="2"/>
      <c r="J5" s="4">
        <f>Analysis!B12</f>
        <v>92</v>
      </c>
      <c r="K5" s="4"/>
      <c r="M5" s="1" t="str">
        <f>INDEX(Analysis!A18:A22,MATCH(MAX(Analysis!B18:B22),Analysis!B18:B22,0))</f>
        <v>Social_Studies</v>
      </c>
      <c r="N5" s="1"/>
      <c r="P5" s="1" t="str">
        <f>INDEX(Analysis!A18:A22,MATCH(MIN(Analysis!B18:B22),Analysis!B18:B22,0))</f>
        <v>Science</v>
      </c>
      <c r="Q5" s="1"/>
    </row>
    <row r="6" spans="1:17" ht="21.75" customHeight="1" x14ac:dyDescent="0.3">
      <c r="A6" s="4"/>
      <c r="B6" s="4"/>
      <c r="D6" s="3"/>
      <c r="E6" s="3"/>
      <c r="G6" s="2"/>
      <c r="H6" s="2"/>
      <c r="J6" s="4"/>
      <c r="K6" s="4"/>
      <c r="M6" s="1"/>
      <c r="N6" s="1"/>
      <c r="P6" s="1"/>
      <c r="Q6" s="1"/>
    </row>
  </sheetData>
  <mergeCells count="12">
    <mergeCell ref="P4:Q4"/>
    <mergeCell ref="A5:B6"/>
    <mergeCell ref="D5:E6"/>
    <mergeCell ref="G5:H6"/>
    <mergeCell ref="J5:K6"/>
    <mergeCell ref="M5:N6"/>
    <mergeCell ref="P5:Q6"/>
    <mergeCell ref="A4:B4"/>
    <mergeCell ref="D4:E4"/>
    <mergeCell ref="G4:H4"/>
    <mergeCell ref="J4:K4"/>
    <mergeCell ref="M4:N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"/>
  <sheetViews>
    <sheetView showGridLines="0" topLeftCell="A74" zoomScaleNormal="100" workbookViewId="0"/>
  </sheetViews>
  <sheetFormatPr defaultColWidth="8.6640625" defaultRowHeight="14.4" x14ac:dyDescent="0.3"/>
  <cols>
    <col min="1" max="1" width="34" customWidth="1"/>
    <col min="2" max="6" width="16" customWidth="1"/>
  </cols>
  <sheetData>
    <row r="1" spans="1:6" ht="21" x14ac:dyDescent="0.4">
      <c r="A1" s="8" t="s">
        <v>21</v>
      </c>
    </row>
    <row r="2" spans="1:6" x14ac:dyDescent="0.3">
      <c r="A2" s="7" t="s">
        <v>22</v>
      </c>
    </row>
    <row r="4" spans="1:6" ht="15.6" x14ac:dyDescent="0.3">
      <c r="A4" s="9" t="s">
        <v>23</v>
      </c>
      <c r="B4" s="11"/>
      <c r="C4" s="11"/>
      <c r="D4" s="11"/>
      <c r="E4" s="11"/>
      <c r="F4" s="11"/>
    </row>
    <row r="5" spans="1:6" x14ac:dyDescent="0.3">
      <c r="A5" s="12" t="s">
        <v>24</v>
      </c>
      <c r="B5" s="13">
        <f>COUNTA(Data!$A$2:$A$301)</f>
        <v>300</v>
      </c>
      <c r="C5" s="11"/>
      <c r="D5" s="11"/>
      <c r="E5" s="11"/>
      <c r="F5" s="11"/>
    </row>
    <row r="6" spans="1:6" x14ac:dyDescent="0.3">
      <c r="A6" s="12" t="s">
        <v>25</v>
      </c>
      <c r="B6" s="14">
        <f>AVERAGE(Data!$N$2:$N$301)</f>
        <v>61.601333333333329</v>
      </c>
      <c r="C6" s="11"/>
      <c r="D6" s="11"/>
      <c r="E6" s="11"/>
      <c r="F6" s="11"/>
    </row>
    <row r="7" spans="1:6" x14ac:dyDescent="0.3">
      <c r="A7" s="12" t="s">
        <v>26</v>
      </c>
      <c r="B7" s="15">
        <f>COUNTIF(Data!$P$2:$P$301,"Pass")/COUNTA(Data!$A$2:$A$301)</f>
        <v>0.89</v>
      </c>
      <c r="C7" s="11"/>
      <c r="D7" s="11"/>
      <c r="E7" s="11"/>
      <c r="F7" s="11"/>
    </row>
    <row r="8" spans="1:6" x14ac:dyDescent="0.3">
      <c r="A8" s="12" t="s">
        <v>27</v>
      </c>
      <c r="B8" s="14">
        <f>MEDIAN(Data!$N$2:$N$301)</f>
        <v>62.1</v>
      </c>
      <c r="C8" s="11"/>
      <c r="D8" s="11"/>
      <c r="E8" s="11"/>
      <c r="F8" s="11"/>
    </row>
    <row r="9" spans="1:6" x14ac:dyDescent="0.3">
      <c r="A9" s="12" t="s">
        <v>28</v>
      </c>
      <c r="B9" s="14">
        <f>STDEV(Data!$N$2:$N$301)</f>
        <v>9.4879468453413818</v>
      </c>
      <c r="C9" s="11"/>
      <c r="D9" s="11"/>
      <c r="E9" s="11"/>
      <c r="F9" s="11"/>
    </row>
    <row r="10" spans="1:6" x14ac:dyDescent="0.3">
      <c r="A10" s="12" t="s">
        <v>29</v>
      </c>
      <c r="B10" s="14">
        <f>MAX(Data!$N$2:$N$301)</f>
        <v>88.6</v>
      </c>
      <c r="C10" s="11"/>
      <c r="D10" s="11"/>
      <c r="E10" s="11"/>
      <c r="F10" s="11"/>
    </row>
    <row r="11" spans="1:6" x14ac:dyDescent="0.3">
      <c r="A11" s="12" t="s">
        <v>30</v>
      </c>
      <c r="B11" s="14">
        <f>MIN(Data!$N$2:$N$301)</f>
        <v>32.200000000000003</v>
      </c>
      <c r="C11" s="11"/>
      <c r="D11" s="11"/>
      <c r="E11" s="11"/>
      <c r="F11" s="11"/>
    </row>
    <row r="12" spans="1:6" x14ac:dyDescent="0.3">
      <c r="A12" s="12" t="s">
        <v>31</v>
      </c>
      <c r="B12" s="13">
        <f>COUNTIF(Data!$S$2:$S$301,"Yes")</f>
        <v>92</v>
      </c>
      <c r="C12" s="11"/>
      <c r="D12" s="11"/>
      <c r="E12" s="11"/>
      <c r="F12" s="11"/>
    </row>
    <row r="13" spans="1:6" x14ac:dyDescent="0.3">
      <c r="A13" s="12" t="s">
        <v>32</v>
      </c>
      <c r="B13" s="15">
        <f>B12/B5</f>
        <v>0.30666666666666664</v>
      </c>
      <c r="C13" s="11"/>
      <c r="D13" s="11"/>
      <c r="E13" s="11"/>
      <c r="F13" s="11"/>
    </row>
    <row r="14" spans="1:6" x14ac:dyDescent="0.3">
      <c r="A14" s="11"/>
      <c r="B14" s="11"/>
      <c r="C14" s="11"/>
      <c r="D14" s="11"/>
      <c r="E14" s="11"/>
      <c r="F14" s="11"/>
    </row>
    <row r="15" spans="1:6" x14ac:dyDescent="0.3">
      <c r="A15" s="11"/>
      <c r="B15" s="11"/>
      <c r="C15" s="11"/>
      <c r="D15" s="11"/>
      <c r="E15" s="11"/>
      <c r="F15" s="11"/>
    </row>
    <row r="16" spans="1:6" ht="15.6" x14ac:dyDescent="0.3">
      <c r="A16" s="9" t="s">
        <v>33</v>
      </c>
      <c r="B16" s="11"/>
      <c r="C16" s="11"/>
      <c r="D16" s="11"/>
      <c r="E16" s="11"/>
      <c r="F16" s="11"/>
    </row>
    <row r="17" spans="1:6" ht="30" customHeight="1" x14ac:dyDescent="0.3">
      <c r="A17" s="16" t="s">
        <v>34</v>
      </c>
      <c r="B17" s="16" t="s">
        <v>35</v>
      </c>
      <c r="C17" s="16" t="s">
        <v>36</v>
      </c>
      <c r="D17" s="16" t="s">
        <v>37</v>
      </c>
      <c r="E17" s="16" t="s">
        <v>38</v>
      </c>
      <c r="F17" s="11"/>
    </row>
    <row r="18" spans="1:6" x14ac:dyDescent="0.3">
      <c r="A18" s="17" t="s">
        <v>39</v>
      </c>
      <c r="B18" s="14">
        <f>AVERAGE(Data!$I$2:$I$301)</f>
        <v>61.656666666666666</v>
      </c>
      <c r="C18" s="17">
        <f>MAX(Data!$I$2:$I$301)</f>
        <v>100</v>
      </c>
      <c r="D18" s="17">
        <f>MIN(Data!$I$2:$I$301)</f>
        <v>31</v>
      </c>
      <c r="E18" s="15">
        <f>COUNTIF(Data!$I$2:$I$301,"&gt;="&amp;Settings!$B$3)/COUNT(Data!$I$2:$I$301)</f>
        <v>0.84333333333333338</v>
      </c>
      <c r="F18" s="11"/>
    </row>
    <row r="19" spans="1:6" x14ac:dyDescent="0.3">
      <c r="A19" s="17" t="s">
        <v>40</v>
      </c>
      <c r="B19" s="14">
        <f>AVERAGE(Data!$J$2:$J$301)</f>
        <v>61.726666666666667</v>
      </c>
      <c r="C19" s="17">
        <f>MAX(Data!$J$2:$J$301)</f>
        <v>93</v>
      </c>
      <c r="D19" s="17">
        <f>MIN(Data!$J$2:$J$301)</f>
        <v>26</v>
      </c>
      <c r="E19" s="15">
        <f>COUNTIF(Data!$J$2:$J$301,"&gt;="&amp;Settings!$B$3)/COUNT(Data!$J$2:$J$301)</f>
        <v>0.88666666666666671</v>
      </c>
      <c r="F19" s="11"/>
    </row>
    <row r="20" spans="1:6" x14ac:dyDescent="0.3">
      <c r="A20" s="17" t="s">
        <v>41</v>
      </c>
      <c r="B20" s="14">
        <f>AVERAGE(Data!$K$2:$K$301)</f>
        <v>61.25333333333333</v>
      </c>
      <c r="C20" s="17">
        <f>MAX(Data!$K$2:$K$301)</f>
        <v>93</v>
      </c>
      <c r="D20" s="17">
        <f>MIN(Data!$K$2:$K$301)</f>
        <v>30</v>
      </c>
      <c r="E20" s="15">
        <f>COUNTIF(Data!$K$2:$K$301,"&gt;="&amp;Settings!$B$3)/COUNT(Data!$K$2:$K$301)</f>
        <v>0.86333333333333329</v>
      </c>
      <c r="F20" s="11"/>
    </row>
    <row r="21" spans="1:6" x14ac:dyDescent="0.3">
      <c r="A21" s="17" t="s">
        <v>42</v>
      </c>
      <c r="B21" s="14">
        <f>AVERAGE(Data!$L$2:$L$301)</f>
        <v>62.006666666666668</v>
      </c>
      <c r="C21" s="17">
        <f>MAX(Data!$L$2:$L$301)</f>
        <v>90</v>
      </c>
      <c r="D21" s="17">
        <f>MIN(Data!$L$2:$L$301)</f>
        <v>31</v>
      </c>
      <c r="E21" s="15">
        <f>COUNTIF(Data!$L$2:$L$301,"&gt;="&amp;Settings!$B$3)/COUNT(Data!$L$2:$L$301)</f>
        <v>0.86</v>
      </c>
      <c r="F21" s="11"/>
    </row>
    <row r="22" spans="1:6" x14ac:dyDescent="0.3">
      <c r="A22" s="17" t="s">
        <v>43</v>
      </c>
      <c r="B22" s="14">
        <f>AVERAGE(Data!$M$2:$M$301)</f>
        <v>61.363333333333337</v>
      </c>
      <c r="C22" s="17">
        <f>MAX(Data!$M$2:$M$301)</f>
        <v>88</v>
      </c>
      <c r="D22" s="17">
        <f>MIN(Data!$M$2:$M$301)</f>
        <v>22</v>
      </c>
      <c r="E22" s="15">
        <f>COUNTIF(Data!$M$2:$M$301,"&gt;="&amp;Settings!$B$3)/COUNT(Data!$M$2:$M$301)</f>
        <v>0.85333333333333339</v>
      </c>
      <c r="F22" s="11"/>
    </row>
    <row r="23" spans="1:6" x14ac:dyDescent="0.3">
      <c r="A23" s="11"/>
      <c r="B23" s="11"/>
      <c r="C23" s="11"/>
      <c r="D23" s="11"/>
      <c r="E23" s="11"/>
      <c r="F23" s="11"/>
    </row>
    <row r="24" spans="1:6" ht="15.6" x14ac:dyDescent="0.3">
      <c r="A24" s="9" t="s">
        <v>44</v>
      </c>
      <c r="B24" s="11"/>
      <c r="C24" s="11"/>
      <c r="D24" s="11"/>
      <c r="E24" s="11"/>
      <c r="F24" s="11"/>
    </row>
    <row r="25" spans="1:6" x14ac:dyDescent="0.3">
      <c r="A25" s="16" t="s">
        <v>34</v>
      </c>
      <c r="B25" s="16" t="s">
        <v>45</v>
      </c>
      <c r="C25" s="16" t="s">
        <v>46</v>
      </c>
      <c r="D25" s="16" t="s">
        <v>47</v>
      </c>
      <c r="E25" s="11"/>
      <c r="F25" s="11"/>
    </row>
    <row r="26" spans="1:6" x14ac:dyDescent="0.3">
      <c r="A26" s="17" t="s">
        <v>39</v>
      </c>
      <c r="B26" s="14">
        <f>AVERAGEIFS(Data!$I$2:$I$301,Data!$B$2:$B$301,B$25)</f>
        <v>60.45962732919255</v>
      </c>
      <c r="C26" s="14">
        <f>AVERAGEIFS(Data!$I$2:$I$301,Data!$B$2:$B$301,C$25)</f>
        <v>63.043165467625897</v>
      </c>
      <c r="D26" s="18">
        <f>B26-C26</f>
        <v>-2.5835381384333473</v>
      </c>
      <c r="E26" s="11"/>
      <c r="F26" s="11"/>
    </row>
    <row r="27" spans="1:6" x14ac:dyDescent="0.3">
      <c r="A27" s="17" t="s">
        <v>40</v>
      </c>
      <c r="B27" s="14">
        <f>AVERAGEIFS(Data!$J$2:$J$301,Data!$B$2:$B$301,B$25)</f>
        <v>63.813664596273291</v>
      </c>
      <c r="C27" s="14">
        <f>AVERAGEIFS(Data!$J$2:$J$301,Data!$B$2:$B$301,C$25)</f>
        <v>59.309352517985609</v>
      </c>
      <c r="D27" s="18">
        <f>B27-C27</f>
        <v>4.5043120782876827</v>
      </c>
      <c r="E27" s="11"/>
      <c r="F27" s="11"/>
    </row>
    <row r="28" spans="1:6" x14ac:dyDescent="0.3">
      <c r="A28" s="17" t="s">
        <v>41</v>
      </c>
      <c r="B28" s="14">
        <f>AVERAGEIFS(Data!$K$2:$K$301,Data!$B$2:$B$301,B$25)</f>
        <v>60.788819875776397</v>
      </c>
      <c r="C28" s="14">
        <f>AVERAGEIFS(Data!$K$2:$K$301,Data!$B$2:$B$301,C$25)</f>
        <v>61.791366906474821</v>
      </c>
      <c r="D28" s="18">
        <f>B28-C28</f>
        <v>-1.0025470306984232</v>
      </c>
      <c r="E28" s="11"/>
      <c r="F28" s="11"/>
    </row>
    <row r="29" spans="1:6" x14ac:dyDescent="0.3">
      <c r="A29" s="17" t="s">
        <v>42</v>
      </c>
      <c r="B29" s="14">
        <f>AVERAGEIFS(Data!$L$2:$L$301,Data!$B$2:$B$301,B$25)</f>
        <v>62.329192546583847</v>
      </c>
      <c r="C29" s="14">
        <f>AVERAGEIFS(Data!$L$2:$L$301,Data!$B$2:$B$301,C$25)</f>
        <v>61.633093525179859</v>
      </c>
      <c r="D29" s="18">
        <f>B29-C29</f>
        <v>0.69609902140398816</v>
      </c>
      <c r="E29" s="11"/>
      <c r="F29" s="11"/>
    </row>
    <row r="30" spans="1:6" x14ac:dyDescent="0.3">
      <c r="A30" s="17" t="s">
        <v>43</v>
      </c>
      <c r="B30" s="14">
        <f>AVERAGEIFS(Data!$M$2:$M$301,Data!$B$2:$B$301,B$25)</f>
        <v>60.739130434782609</v>
      </c>
      <c r="C30" s="14">
        <f>AVERAGEIFS(Data!$M$2:$M$301,Data!$B$2:$B$301,C$25)</f>
        <v>62.086330935251802</v>
      </c>
      <c r="D30" s="18">
        <f>B30-C30</f>
        <v>-1.3472005004691923</v>
      </c>
      <c r="E30" s="11"/>
      <c r="F30" s="11"/>
    </row>
    <row r="31" spans="1:6" x14ac:dyDescent="0.3">
      <c r="A31" s="11"/>
      <c r="B31" s="11"/>
      <c r="C31" s="11"/>
      <c r="D31" s="11"/>
      <c r="E31" s="11"/>
      <c r="F31" s="11"/>
    </row>
    <row r="32" spans="1:6" ht="15.6" x14ac:dyDescent="0.3">
      <c r="A32" s="9" t="s">
        <v>48</v>
      </c>
      <c r="B32" s="11"/>
      <c r="C32" s="11"/>
      <c r="D32" s="11"/>
      <c r="E32" s="11"/>
      <c r="F32" s="11"/>
    </row>
    <row r="33" spans="1:6" ht="30" customHeight="1" x14ac:dyDescent="0.3">
      <c r="A33" s="16" t="s">
        <v>49</v>
      </c>
      <c r="B33" s="16" t="s">
        <v>50</v>
      </c>
      <c r="C33" s="16" t="s">
        <v>51</v>
      </c>
      <c r="D33" s="16" t="s">
        <v>26</v>
      </c>
      <c r="E33" s="16" t="s">
        <v>52</v>
      </c>
      <c r="F33" s="16" t="s">
        <v>53</v>
      </c>
    </row>
    <row r="34" spans="1:6" x14ac:dyDescent="0.3">
      <c r="A34" s="17" t="s">
        <v>45</v>
      </c>
      <c r="B34" s="17">
        <f>COUNTIFS(Data!$B$2:$B$301,$A34)</f>
        <v>161</v>
      </c>
      <c r="C34" s="14">
        <f>IFERROR(AVERAGEIFS(Data!$N$2:$N$301,Data!$B$2:$B$301,$A34),0)</f>
        <v>61.626086956521725</v>
      </c>
      <c r="D34" s="15">
        <f>IFERROR(COUNTIFS(Data!$B$2:$B$301,$A34,Data!$P$2:$P$301,"Pass")/B34,0)</f>
        <v>0.89440993788819878</v>
      </c>
      <c r="E34" s="14">
        <f>IFERROR(AVERAGEIFS(Data!$D$2:$D$301,Data!$B$2:$B$301,$A34),0)</f>
        <v>11.198757763975157</v>
      </c>
      <c r="F34" s="14">
        <f>IFERROR(AVERAGEIFS(Data!$E$2:$E$301,Data!$B$2:$B$301,$A34),0)</f>
        <v>84.937888198757761</v>
      </c>
    </row>
    <row r="35" spans="1:6" x14ac:dyDescent="0.3">
      <c r="A35" s="17" t="s">
        <v>46</v>
      </c>
      <c r="B35" s="17">
        <f>COUNTIFS(Data!$B$2:$B$301,$A35)</f>
        <v>139</v>
      </c>
      <c r="C35" s="14">
        <f>IFERROR(AVERAGEIFS(Data!$N$2:$N$301,Data!$B$2:$B$301,$A35),0)</f>
        <v>61.572661870503602</v>
      </c>
      <c r="D35" s="15">
        <f>IFERROR(COUNTIFS(Data!$B$2:$B$301,$A35,Data!$P$2:$P$301,"Pass")/B35,0)</f>
        <v>0.8848920863309353</v>
      </c>
      <c r="E35" s="14">
        <f>IFERROR(AVERAGEIFS(Data!$D$2:$D$301,Data!$B$2:$B$301,$A35),0)</f>
        <v>11.389928057553956</v>
      </c>
      <c r="F35" s="14">
        <f>IFERROR(AVERAGEIFS(Data!$E$2:$E$301,Data!$B$2:$B$301,$A35),0)</f>
        <v>84.172661870503603</v>
      </c>
    </row>
    <row r="36" spans="1:6" x14ac:dyDescent="0.3">
      <c r="A36" s="12" t="s">
        <v>54</v>
      </c>
      <c r="B36" s="12">
        <f>SUM(B34:B35)</f>
        <v>300</v>
      </c>
      <c r="C36" s="19">
        <f>AVERAGE(Data!$N$2:$N$301)</f>
        <v>61.601333333333329</v>
      </c>
      <c r="D36" s="20">
        <f>COUNTIF(Data!$P$2:$P$301,"Pass")/COUNTA(Data!$A$2:$A$301)</f>
        <v>0.89</v>
      </c>
      <c r="E36" s="19">
        <f>AVERAGE(Data!$D$2:$D$301)</f>
        <v>11.28733333333334</v>
      </c>
      <c r="F36" s="19">
        <f>AVERAGE(Data!$E$2:$E$301)</f>
        <v>84.583333333333329</v>
      </c>
    </row>
    <row r="37" spans="1:6" x14ac:dyDescent="0.3">
      <c r="A37" s="11"/>
      <c r="B37" s="11"/>
      <c r="C37" s="11"/>
      <c r="D37" s="11"/>
      <c r="E37" s="11"/>
      <c r="F37" s="11"/>
    </row>
    <row r="38" spans="1:6" ht="15.6" x14ac:dyDescent="0.3">
      <c r="A38" s="9" t="s">
        <v>55</v>
      </c>
      <c r="B38" s="11"/>
      <c r="C38" s="11"/>
      <c r="D38" s="11"/>
      <c r="E38" s="11"/>
      <c r="F38" s="11"/>
    </row>
    <row r="39" spans="1:6" ht="30" customHeight="1" x14ac:dyDescent="0.3">
      <c r="A39" s="16" t="s">
        <v>56</v>
      </c>
      <c r="B39" s="16" t="s">
        <v>50</v>
      </c>
      <c r="C39" s="16" t="s">
        <v>51</v>
      </c>
      <c r="D39" s="16" t="s">
        <v>26</v>
      </c>
      <c r="E39" s="16" t="s">
        <v>52</v>
      </c>
      <c r="F39" s="16" t="s">
        <v>53</v>
      </c>
    </row>
    <row r="40" spans="1:6" x14ac:dyDescent="0.3">
      <c r="A40" s="17" t="s">
        <v>57</v>
      </c>
      <c r="B40" s="17">
        <f>COUNTIFS(Data!$C$2:$C$301,$A40)</f>
        <v>101</v>
      </c>
      <c r="C40" s="14">
        <f>IFERROR(AVERAGEIFS(Data!$N$2:$N$301,Data!$C$2:$C$301,$A40),0)</f>
        <v>61.338613861386136</v>
      </c>
      <c r="D40" s="15">
        <f>IFERROR(COUNTIFS(Data!$C$2:$C$301,$A40,Data!$P$2:$P$301,"Pass")/B40,0)</f>
        <v>0.91089108910891092</v>
      </c>
      <c r="E40" s="14">
        <f>IFERROR(AVERAGEIFS(Data!$D$2:$D$301,Data!$C$2:$C$301,$A40),0)</f>
        <v>11.086138613861381</v>
      </c>
      <c r="F40" s="14">
        <f>IFERROR(AVERAGEIFS(Data!$E$2:$E$301,Data!$C$2:$C$301,$A40),0)</f>
        <v>85.059405940594061</v>
      </c>
    </row>
    <row r="41" spans="1:6" x14ac:dyDescent="0.3">
      <c r="A41" s="17" t="s">
        <v>58</v>
      </c>
      <c r="B41" s="17">
        <f>COUNTIFS(Data!$C$2:$C$301,$A41)</f>
        <v>111</v>
      </c>
      <c r="C41" s="14">
        <f>IFERROR(AVERAGEIFS(Data!$N$2:$N$301,Data!$C$2:$C$301,$A41),0)</f>
        <v>61.153153153153134</v>
      </c>
      <c r="D41" s="15">
        <f>IFERROR(COUNTIFS(Data!$C$2:$C$301,$A41,Data!$P$2:$P$301,"Pass")/B41,0)</f>
        <v>0.86486486486486491</v>
      </c>
      <c r="E41" s="14">
        <f>IFERROR(AVERAGEIFS(Data!$D$2:$D$301,Data!$C$2:$C$301,$A41),0)</f>
        <v>11.227027027027029</v>
      </c>
      <c r="F41" s="14">
        <f>IFERROR(AVERAGEIFS(Data!$E$2:$E$301,Data!$C$2:$C$301,$A41),0)</f>
        <v>83.729729729729726</v>
      </c>
    </row>
    <row r="42" spans="1:6" x14ac:dyDescent="0.3">
      <c r="A42" s="17" t="s">
        <v>59</v>
      </c>
      <c r="B42" s="17">
        <f>COUNTIFS(Data!$C$2:$C$301,$A42)</f>
        <v>88</v>
      </c>
      <c r="C42" s="14">
        <f>IFERROR(AVERAGEIFS(Data!$N$2:$N$301,Data!$C$2:$C$301,$A42),0)</f>
        <v>62.468181818181819</v>
      </c>
      <c r="D42" s="15">
        <f>IFERROR(COUNTIFS(Data!$C$2:$C$301,$A42,Data!$P$2:$P$301,"Pass")/B42,0)</f>
        <v>0.89772727272727271</v>
      </c>
      <c r="E42" s="14">
        <f>IFERROR(AVERAGEIFS(Data!$D$2:$D$301,Data!$C$2:$C$301,$A42),0)</f>
        <v>11.59431818181818</v>
      </c>
      <c r="F42" s="14">
        <f>IFERROR(AVERAGEIFS(Data!$E$2:$E$301,Data!$C$2:$C$301,$A42),0)</f>
        <v>85.11363636363636</v>
      </c>
    </row>
    <row r="43" spans="1:6" x14ac:dyDescent="0.3">
      <c r="A43" s="12" t="s">
        <v>54</v>
      </c>
      <c r="B43" s="12">
        <f>SUM(B40:B42)</f>
        <v>300</v>
      </c>
      <c r="C43" s="19">
        <f>AVERAGE(Data!$N$2:$N$301)</f>
        <v>61.601333333333329</v>
      </c>
      <c r="D43" s="20">
        <f>COUNTIF(Data!$P$2:$P$301,"Pass")/COUNTA(Data!$A$2:$A$301)</f>
        <v>0.89</v>
      </c>
      <c r="E43" s="19">
        <f>AVERAGE(Data!$D$2:$D$301)</f>
        <v>11.28733333333334</v>
      </c>
      <c r="F43" s="19">
        <f>AVERAGE(Data!$E$2:$E$301)</f>
        <v>84.583333333333329</v>
      </c>
    </row>
    <row r="44" spans="1:6" x14ac:dyDescent="0.3">
      <c r="A44" s="11"/>
      <c r="B44" s="11"/>
      <c r="C44" s="11"/>
      <c r="D44" s="11"/>
      <c r="E44" s="11"/>
      <c r="F44" s="11"/>
    </row>
    <row r="45" spans="1:6" ht="15.6" x14ac:dyDescent="0.3">
      <c r="A45" s="9" t="s">
        <v>60</v>
      </c>
      <c r="B45" s="11"/>
      <c r="C45" s="11"/>
      <c r="D45" s="11"/>
      <c r="E45" s="11"/>
      <c r="F45" s="11"/>
    </row>
    <row r="46" spans="1:6" ht="30" customHeight="1" x14ac:dyDescent="0.3">
      <c r="A46" s="16" t="s">
        <v>61</v>
      </c>
      <c r="B46" s="16" t="s">
        <v>50</v>
      </c>
      <c r="C46" s="16" t="s">
        <v>51</v>
      </c>
      <c r="D46" s="16" t="s">
        <v>26</v>
      </c>
      <c r="E46" s="16" t="s">
        <v>52</v>
      </c>
      <c r="F46" s="16" t="s">
        <v>53</v>
      </c>
    </row>
    <row r="47" spans="1:6" x14ac:dyDescent="0.3">
      <c r="A47" s="17" t="s">
        <v>62</v>
      </c>
      <c r="B47" s="17">
        <f>COUNTIFS(Data!$F$2:$F$301,$A47)</f>
        <v>93</v>
      </c>
      <c r="C47" s="14">
        <f>IFERROR(AVERAGEIFS(Data!$N$2:$N$301,Data!$F$2:$F$301,$A47),0)</f>
        <v>58.703225806451606</v>
      </c>
      <c r="D47" s="15">
        <f>IFERROR(COUNTIFS(Data!$F$2:$F$301,$A47,Data!$P$2:$P$301,"Pass")/B47,0)</f>
        <v>0.78494623655913975</v>
      </c>
      <c r="E47" s="14">
        <f>IFERROR(AVERAGEIFS(Data!$D$2:$D$301,Data!$F$2:$F$301,$A47),0)</f>
        <v>11.001075268817203</v>
      </c>
      <c r="F47" s="14">
        <f>IFERROR(AVERAGEIFS(Data!$E$2:$E$301,Data!$F$2:$F$301,$A47),0)</f>
        <v>83.817204301075265</v>
      </c>
    </row>
    <row r="48" spans="1:6" x14ac:dyDescent="0.3">
      <c r="A48" s="17" t="s">
        <v>63</v>
      </c>
      <c r="B48" s="17">
        <f>COUNTIFS(Data!$F$2:$F$301,$A48)</f>
        <v>130</v>
      </c>
      <c r="C48" s="14">
        <f>IFERROR(AVERAGEIFS(Data!$N$2:$N$301,Data!$F$2:$F$301,$A48),0)</f>
        <v>62.286153846153844</v>
      </c>
      <c r="D48" s="15">
        <f>IFERROR(COUNTIFS(Data!$F$2:$F$301,$A48,Data!$P$2:$P$301,"Pass")/B48,0)</f>
        <v>0.92307692307692313</v>
      </c>
      <c r="E48" s="14">
        <f>IFERROR(AVERAGEIFS(Data!$D$2:$D$301,Data!$F$2:$F$301,$A48),0)</f>
        <v>11.460769230769227</v>
      </c>
      <c r="F48" s="14">
        <f>IFERROR(AVERAGEIFS(Data!$E$2:$E$301,Data!$F$2:$F$301,$A48),0)</f>
        <v>84.884615384615387</v>
      </c>
    </row>
    <row r="49" spans="1:6" x14ac:dyDescent="0.3">
      <c r="A49" s="17" t="s">
        <v>64</v>
      </c>
      <c r="B49" s="17">
        <f>COUNTIFS(Data!$F$2:$F$301,$A49)</f>
        <v>77</v>
      </c>
      <c r="C49" s="14">
        <f>IFERROR(AVERAGEIFS(Data!$N$2:$N$301,Data!$F$2:$F$301,$A49),0)</f>
        <v>63.94545454545456</v>
      </c>
      <c r="D49" s="15">
        <f>IFERROR(COUNTIFS(Data!$F$2:$F$301,$A49,Data!$P$2:$P$301,"Pass")/B49,0)</f>
        <v>0.96103896103896103</v>
      </c>
      <c r="E49" s="14">
        <f>IFERROR(AVERAGEIFS(Data!$D$2:$D$301,Data!$F$2:$F$301,$A49),0)</f>
        <v>11.340259740259739</v>
      </c>
      <c r="F49" s="14">
        <f>IFERROR(AVERAGEIFS(Data!$E$2:$E$301,Data!$F$2:$F$301,$A49),0)</f>
        <v>85</v>
      </c>
    </row>
    <row r="50" spans="1:6" x14ac:dyDescent="0.3">
      <c r="A50" s="12" t="s">
        <v>54</v>
      </c>
      <c r="B50" s="12">
        <f>SUM(B47:B49)</f>
        <v>300</v>
      </c>
      <c r="C50" s="19">
        <f>AVERAGE(Data!$N$2:$N$301)</f>
        <v>61.601333333333329</v>
      </c>
      <c r="D50" s="20">
        <f>COUNTIF(Data!$P$2:$P$301,"Pass")/COUNTA(Data!$A$2:$A$301)</f>
        <v>0.89</v>
      </c>
      <c r="E50" s="19">
        <f>AVERAGE(Data!$D$2:$D$301)</f>
        <v>11.28733333333334</v>
      </c>
      <c r="F50" s="19">
        <f>AVERAGE(Data!$E$2:$E$301)</f>
        <v>84.583333333333329</v>
      </c>
    </row>
    <row r="51" spans="1:6" x14ac:dyDescent="0.3">
      <c r="A51" s="11"/>
      <c r="B51" s="11"/>
      <c r="C51" s="11"/>
      <c r="D51" s="11"/>
      <c r="E51" s="11"/>
      <c r="F51" s="11"/>
    </row>
    <row r="52" spans="1:6" ht="15.6" x14ac:dyDescent="0.3">
      <c r="A52" s="9" t="s">
        <v>65</v>
      </c>
      <c r="B52" s="11"/>
      <c r="C52" s="11"/>
      <c r="D52" s="11"/>
      <c r="E52" s="11"/>
      <c r="F52" s="11"/>
    </row>
    <row r="53" spans="1:6" ht="30" customHeight="1" x14ac:dyDescent="0.3">
      <c r="A53" s="16" t="s">
        <v>66</v>
      </c>
      <c r="B53" s="16" t="s">
        <v>50</v>
      </c>
      <c r="C53" s="16" t="s">
        <v>51</v>
      </c>
      <c r="D53" s="16" t="s">
        <v>26</v>
      </c>
      <c r="E53" s="16" t="s">
        <v>52</v>
      </c>
      <c r="F53" s="16" t="s">
        <v>53</v>
      </c>
    </row>
    <row r="54" spans="1:6" x14ac:dyDescent="0.3">
      <c r="A54" s="17" t="s">
        <v>67</v>
      </c>
      <c r="B54" s="17">
        <f>COUNTIFS(Data!$G$2:$G$301,$A54)</f>
        <v>201</v>
      </c>
      <c r="C54" s="14">
        <f>IFERROR(AVERAGEIFS(Data!$N$2:$N$301,Data!$G$2:$G$301,$A54),0)</f>
        <v>62.876616915422908</v>
      </c>
      <c r="D54" s="15">
        <f>IFERROR(COUNTIFS(Data!$G$2:$G$301,$A54,Data!$P$2:$P$301,"Pass")/B54,0)</f>
        <v>0.92039800995024879</v>
      </c>
      <c r="E54" s="14">
        <f>IFERROR(AVERAGEIFS(Data!$D$2:$D$301,Data!$G$2:$G$301,$A54),0)</f>
        <v>11.339800995024881</v>
      </c>
      <c r="F54" s="14">
        <f>IFERROR(AVERAGEIFS(Data!$E$2:$E$301,Data!$G$2:$G$301,$A54),0)</f>
        <v>84.721393034825866</v>
      </c>
    </row>
    <row r="55" spans="1:6" x14ac:dyDescent="0.3">
      <c r="A55" s="17" t="s">
        <v>68</v>
      </c>
      <c r="B55" s="17">
        <f>COUNTIFS(Data!$G$2:$G$301,$A55)</f>
        <v>99</v>
      </c>
      <c r="C55" s="14">
        <f>IFERROR(AVERAGEIFS(Data!$N$2:$N$301,Data!$G$2:$G$301,$A55),0)</f>
        <v>59.012121212121208</v>
      </c>
      <c r="D55" s="15">
        <f>IFERROR(COUNTIFS(Data!$G$2:$G$301,$A55,Data!$P$2:$P$301,"Pass")/B55,0)</f>
        <v>0.82828282828282829</v>
      </c>
      <c r="E55" s="14">
        <f>IFERROR(AVERAGEIFS(Data!$D$2:$D$301,Data!$G$2:$G$301,$A55),0)</f>
        <v>11.180808080808076</v>
      </c>
      <c r="F55" s="14">
        <f>IFERROR(AVERAGEIFS(Data!$E$2:$E$301,Data!$G$2:$G$301,$A55),0)</f>
        <v>84.303030303030297</v>
      </c>
    </row>
    <row r="56" spans="1:6" x14ac:dyDescent="0.3">
      <c r="A56" s="12" t="s">
        <v>54</v>
      </c>
      <c r="B56" s="12">
        <f>SUM(B54:B55)</f>
        <v>300</v>
      </c>
      <c r="C56" s="19">
        <f>AVERAGE(Data!$N$2:$N$301)</f>
        <v>61.601333333333329</v>
      </c>
      <c r="D56" s="20">
        <f>COUNTIF(Data!$P$2:$P$301,"Pass")/COUNTA(Data!$A$2:$A$301)</f>
        <v>0.89</v>
      </c>
      <c r="E56" s="19">
        <f>AVERAGE(Data!$D$2:$D$301)</f>
        <v>11.28733333333334</v>
      </c>
      <c r="F56" s="19">
        <f>AVERAGE(Data!$E$2:$E$301)</f>
        <v>84.583333333333329</v>
      </c>
    </row>
    <row r="57" spans="1:6" x14ac:dyDescent="0.3">
      <c r="A57" s="11"/>
      <c r="B57" s="11"/>
      <c r="C57" s="11"/>
      <c r="D57" s="11"/>
      <c r="E57" s="11"/>
      <c r="F57" s="11"/>
    </row>
    <row r="58" spans="1:6" ht="15.6" x14ac:dyDescent="0.3">
      <c r="A58" s="9" t="s">
        <v>69</v>
      </c>
      <c r="B58" s="11"/>
      <c r="C58" s="11"/>
      <c r="D58" s="11"/>
      <c r="E58" s="11"/>
      <c r="F58" s="11"/>
    </row>
    <row r="59" spans="1:6" ht="30" customHeight="1" x14ac:dyDescent="0.3">
      <c r="A59" s="16" t="s">
        <v>70</v>
      </c>
      <c r="B59" s="16" t="s">
        <v>50</v>
      </c>
      <c r="C59" s="16" t="s">
        <v>51</v>
      </c>
      <c r="D59" s="16" t="s">
        <v>26</v>
      </c>
      <c r="E59" s="16" t="s">
        <v>52</v>
      </c>
      <c r="F59" s="16" t="s">
        <v>53</v>
      </c>
    </row>
    <row r="60" spans="1:6" x14ac:dyDescent="0.3">
      <c r="A60" s="17" t="s">
        <v>67</v>
      </c>
      <c r="B60" s="17">
        <f>COUNTIFS(Data!$H$2:$H$301,$A60)</f>
        <v>136</v>
      </c>
      <c r="C60" s="14">
        <f>IFERROR(AVERAGEIFS(Data!$N$2:$N$301,Data!$H$2:$H$301,$A60),0)</f>
        <v>62.223529411764673</v>
      </c>
      <c r="D60" s="15">
        <f>IFERROR(COUNTIFS(Data!$H$2:$H$301,$A60,Data!$P$2:$P$301,"Pass")/B60,0)</f>
        <v>0.91176470588235292</v>
      </c>
      <c r="E60" s="14">
        <f>IFERROR(AVERAGEIFS(Data!$D$2:$D$301,Data!$H$2:$H$301,$A60),0)</f>
        <v>11.223529411764707</v>
      </c>
      <c r="F60" s="14">
        <f>IFERROR(AVERAGEIFS(Data!$E$2:$E$301,Data!$H$2:$H$301,$A60),0)</f>
        <v>83.985294117647058</v>
      </c>
    </row>
    <row r="61" spans="1:6" x14ac:dyDescent="0.3">
      <c r="A61" s="17" t="s">
        <v>68</v>
      </c>
      <c r="B61" s="17">
        <f>COUNTIFS(Data!$H$2:$H$301,$A61)</f>
        <v>164</v>
      </c>
      <c r="C61" s="14">
        <f>IFERROR(AVERAGEIFS(Data!$N$2:$N$301,Data!$H$2:$H$301,$A61),0)</f>
        <v>61.085365853658558</v>
      </c>
      <c r="D61" s="15">
        <f>IFERROR(COUNTIFS(Data!$H$2:$H$301,$A61,Data!$P$2:$P$301,"Pass")/B61,0)</f>
        <v>0.87195121951219512</v>
      </c>
      <c r="E61" s="14">
        <f>IFERROR(AVERAGEIFS(Data!$D$2:$D$301,Data!$H$2:$H$301,$A61),0)</f>
        <v>11.340243902439028</v>
      </c>
      <c r="F61" s="14">
        <f>IFERROR(AVERAGEIFS(Data!$E$2:$E$301,Data!$H$2:$H$301,$A61),0)</f>
        <v>85.079268292682926</v>
      </c>
    </row>
    <row r="62" spans="1:6" x14ac:dyDescent="0.3">
      <c r="A62" s="12" t="s">
        <v>54</v>
      </c>
      <c r="B62" s="12">
        <f>SUM(B60:B61)</f>
        <v>300</v>
      </c>
      <c r="C62" s="19">
        <f>AVERAGE(Data!$N$2:$N$301)</f>
        <v>61.601333333333329</v>
      </c>
      <c r="D62" s="20">
        <f>COUNTIF(Data!$P$2:$P$301,"Pass")/COUNTA(Data!$A$2:$A$301)</f>
        <v>0.89</v>
      </c>
      <c r="E62" s="19">
        <f>AVERAGE(Data!$D$2:$D$301)</f>
        <v>11.28733333333334</v>
      </c>
      <c r="F62" s="19">
        <f>AVERAGE(Data!$E$2:$E$301)</f>
        <v>84.583333333333329</v>
      </c>
    </row>
    <row r="63" spans="1:6" x14ac:dyDescent="0.3">
      <c r="A63" s="11"/>
      <c r="B63" s="11"/>
      <c r="C63" s="11"/>
      <c r="D63" s="11"/>
      <c r="E63" s="11"/>
      <c r="F63" s="11"/>
    </row>
    <row r="64" spans="1:6" ht="15.6" x14ac:dyDescent="0.3">
      <c r="A64" s="9" t="s">
        <v>71</v>
      </c>
      <c r="B64" s="11"/>
      <c r="C64" s="11"/>
      <c r="D64" s="11"/>
      <c r="E64" s="11"/>
      <c r="F64" s="11"/>
    </row>
    <row r="65" spans="1:6" ht="30" customHeight="1" x14ac:dyDescent="0.3">
      <c r="A65" s="16" t="s">
        <v>72</v>
      </c>
      <c r="B65" s="16" t="s">
        <v>50</v>
      </c>
      <c r="C65" s="16" t="s">
        <v>51</v>
      </c>
      <c r="D65" s="16" t="s">
        <v>26</v>
      </c>
      <c r="E65" s="16" t="s">
        <v>52</v>
      </c>
      <c r="F65" s="16" t="s">
        <v>53</v>
      </c>
    </row>
    <row r="66" spans="1:6" x14ac:dyDescent="0.3">
      <c r="A66" s="21" t="str">
        <f>Settings!$B$19</f>
        <v>0 to 4 hrs</v>
      </c>
      <c r="B66" s="17">
        <f>COUNTIFS(Data!$Q$2:$Q$301,$A66)</f>
        <v>35</v>
      </c>
      <c r="C66" s="14">
        <f>IFERROR(AVERAGEIFS(Data!$N$2:$N$301,Data!$Q$2:$Q$301,$A66),0)</f>
        <v>50.028571428571425</v>
      </c>
      <c r="D66" s="15">
        <f>IFERROR(COUNTIFS(Data!$Q$2:$Q$301,$A66,Data!$P$2:$P$301,"Pass")/B66,0)</f>
        <v>0.6</v>
      </c>
      <c r="E66" s="14">
        <f>IFERROR(AVERAGEIFS(Data!$D$2:$D$301,Data!$Q$2:$Q$301,$A66),0)</f>
        <v>3.0685714285714289</v>
      </c>
      <c r="F66" s="14">
        <f>IFERROR(AVERAGEIFS(Data!$E$2:$E$301,Data!$Q$2:$Q$301,$A66),0)</f>
        <v>83.342857142857142</v>
      </c>
    </row>
    <row r="67" spans="1:6" x14ac:dyDescent="0.3">
      <c r="A67" s="21" t="str">
        <f>Settings!$B$20</f>
        <v>5 to 9 hrs</v>
      </c>
      <c r="B67" s="17">
        <f>COUNTIFS(Data!$Q$2:$Q$301,$A67)</f>
        <v>82</v>
      </c>
      <c r="C67" s="14">
        <f>IFERROR(AVERAGEIFS(Data!$N$2:$N$301,Data!$Q$2:$Q$301,$A67),0)</f>
        <v>58.156097560975589</v>
      </c>
      <c r="D67" s="15">
        <f>IFERROR(COUNTIFS(Data!$Q$2:$Q$301,$A67,Data!$P$2:$P$301,"Pass")/B67,0)</f>
        <v>0.86585365853658536</v>
      </c>
      <c r="E67" s="14">
        <f>IFERROR(AVERAGEIFS(Data!$D$2:$D$301,Data!$Q$2:$Q$301,$A67),0)</f>
        <v>7.7146341463414636</v>
      </c>
      <c r="F67" s="14">
        <f>IFERROR(AVERAGEIFS(Data!$E$2:$E$301,Data!$Q$2:$Q$301,$A67),0)</f>
        <v>83.707317073170728</v>
      </c>
    </row>
    <row r="68" spans="1:6" x14ac:dyDescent="0.3">
      <c r="A68" s="21" t="str">
        <f>Settings!$B$21</f>
        <v>10 to 14 hrs</v>
      </c>
      <c r="B68" s="17">
        <f>COUNTIFS(Data!$Q$2:$Q$301,$A68)</f>
        <v>117</v>
      </c>
      <c r="C68" s="14">
        <f>IFERROR(AVERAGEIFS(Data!$N$2:$N$301,Data!$Q$2:$Q$301,$A68),0)</f>
        <v>62.441025641025647</v>
      </c>
      <c r="D68" s="15">
        <f>IFERROR(COUNTIFS(Data!$Q$2:$Q$301,$A68,Data!$P$2:$P$301,"Pass")/B68,0)</f>
        <v>0.93162393162393164</v>
      </c>
      <c r="E68" s="14">
        <f>IFERROR(AVERAGEIFS(Data!$D$2:$D$301,Data!$Q$2:$Q$301,$A68),0)</f>
        <v>12.435042735042733</v>
      </c>
      <c r="F68" s="14">
        <f>IFERROR(AVERAGEIFS(Data!$E$2:$E$301,Data!$Q$2:$Q$301,$A68),0)</f>
        <v>84.273504273504273</v>
      </c>
    </row>
    <row r="69" spans="1:6" x14ac:dyDescent="0.3">
      <c r="A69" s="21" t="str">
        <f>Settings!$B$22</f>
        <v>15 to 19 hrs</v>
      </c>
      <c r="B69" s="17">
        <f>COUNTIFS(Data!$Q$2:$Q$301,$A69)</f>
        <v>53</v>
      </c>
      <c r="C69" s="14">
        <f>IFERROR(AVERAGEIFS(Data!$N$2:$N$301,Data!$Q$2:$Q$301,$A69),0)</f>
        <v>69.592452830188677</v>
      </c>
      <c r="D69" s="15">
        <f>IFERROR(COUNTIFS(Data!$Q$2:$Q$301,$A69,Data!$P$2:$P$301,"Pass")/B69,0)</f>
        <v>1</v>
      </c>
      <c r="E69" s="14">
        <f>IFERROR(AVERAGEIFS(Data!$D$2:$D$301,Data!$Q$2:$Q$301,$A69),0)</f>
        <v>17.018867924528301</v>
      </c>
      <c r="F69" s="14">
        <f>IFERROR(AVERAGEIFS(Data!$E$2:$E$301,Data!$Q$2:$Q$301,$A69),0)</f>
        <v>86.698113207547166</v>
      </c>
    </row>
    <row r="70" spans="1:6" x14ac:dyDescent="0.3">
      <c r="A70" s="21" t="str">
        <f>Settings!$B$23</f>
        <v>20+ hrs</v>
      </c>
      <c r="B70" s="17">
        <f>COUNTIFS(Data!$Q$2:$Q$301,$A70)</f>
        <v>13</v>
      </c>
      <c r="C70" s="14">
        <f>IFERROR(AVERAGEIFS(Data!$N$2:$N$301,Data!$Q$2:$Q$301,$A70),0)</f>
        <v>74.353846153846149</v>
      </c>
      <c r="D70" s="15">
        <f>IFERROR(COUNTIFS(Data!$Q$2:$Q$301,$A70,Data!$P$2:$P$301,"Pass")/B70,0)</f>
        <v>1</v>
      </c>
      <c r="E70" s="14">
        <f>IFERROR(AVERAGEIFS(Data!$D$2:$D$301,Data!$Q$2:$Q$301,$A70),0)</f>
        <v>22.253846153846155</v>
      </c>
      <c r="F70" s="14">
        <f>IFERROR(AVERAGEIFS(Data!$E$2:$E$301,Data!$Q$2:$Q$301,$A70),0)</f>
        <v>87.615384615384613</v>
      </c>
    </row>
    <row r="71" spans="1:6" x14ac:dyDescent="0.3">
      <c r="A71" s="12" t="s">
        <v>54</v>
      </c>
      <c r="B71" s="12">
        <f>SUM(B66:B70)</f>
        <v>300</v>
      </c>
      <c r="C71" s="19">
        <f>AVERAGE(Data!$N$2:$N$301)</f>
        <v>61.601333333333329</v>
      </c>
      <c r="D71" s="20">
        <f>COUNTIF(Data!$P$2:$P$301,"Pass")/COUNTA(Data!$A$2:$A$301)</f>
        <v>0.89</v>
      </c>
      <c r="E71" s="19">
        <f>AVERAGE(Data!$D$2:$D$301)</f>
        <v>11.28733333333334</v>
      </c>
      <c r="F71" s="19">
        <f>AVERAGE(Data!$E$2:$E$301)</f>
        <v>84.583333333333329</v>
      </c>
    </row>
    <row r="72" spans="1:6" x14ac:dyDescent="0.3">
      <c r="A72" s="11"/>
      <c r="B72" s="11"/>
      <c r="C72" s="11"/>
      <c r="D72" s="11"/>
      <c r="E72" s="11"/>
      <c r="F72" s="11"/>
    </row>
    <row r="73" spans="1:6" ht="15.6" x14ac:dyDescent="0.3">
      <c r="A73" s="9" t="s">
        <v>73</v>
      </c>
      <c r="B73" s="11"/>
      <c r="C73" s="11"/>
      <c r="D73" s="11"/>
      <c r="E73" s="11"/>
      <c r="F73" s="11"/>
    </row>
    <row r="74" spans="1:6" ht="30" customHeight="1" x14ac:dyDescent="0.3">
      <c r="A74" s="16" t="s">
        <v>74</v>
      </c>
      <c r="B74" s="16" t="s">
        <v>50</v>
      </c>
      <c r="C74" s="16" t="s">
        <v>51</v>
      </c>
      <c r="D74" s="16" t="s">
        <v>26</v>
      </c>
      <c r="E74" s="16" t="s">
        <v>52</v>
      </c>
      <c r="F74" s="16" t="s">
        <v>53</v>
      </c>
    </row>
    <row r="75" spans="1:6" x14ac:dyDescent="0.3">
      <c r="A75" s="21" t="str">
        <f>Settings!$B$28</f>
        <v>Below 75%</v>
      </c>
      <c r="B75" s="17">
        <f>COUNTIFS(Data!$R$2:$R$301,$A75)</f>
        <v>32</v>
      </c>
      <c r="C75" s="14">
        <f>IFERROR(AVERAGEIFS(Data!$N$2:$N$301,Data!$R$2:$R$301,$A75),0)</f>
        <v>55.08124999999999</v>
      </c>
      <c r="D75" s="15">
        <f>IFERROR(COUNTIFS(Data!$R$2:$R$301,$A75,Data!$P$2:$P$301,"Pass")/B75,0)</f>
        <v>0.71875</v>
      </c>
      <c r="E75" s="14">
        <f>IFERROR(AVERAGEIFS(Data!$D$2:$D$301,Data!$R$2:$R$301,$A75),0)</f>
        <v>9.9874999999999972</v>
      </c>
      <c r="F75" s="14">
        <f>IFERROR(AVERAGEIFS(Data!$E$2:$E$301,Data!$R$2:$R$301,$A75),0)</f>
        <v>70.75</v>
      </c>
    </row>
    <row r="76" spans="1:6" x14ac:dyDescent="0.3">
      <c r="A76" s="21" t="str">
        <f>Settings!$B$29</f>
        <v>75 to 84%</v>
      </c>
      <c r="B76" s="17">
        <f>COUNTIFS(Data!$R$2:$R$301,$A76)</f>
        <v>107</v>
      </c>
      <c r="C76" s="14">
        <f>IFERROR(AVERAGEIFS(Data!$N$2:$N$301,Data!$R$2:$R$301,$A76),0)</f>
        <v>58.678504672897191</v>
      </c>
      <c r="D76" s="15">
        <f>IFERROR(COUNTIFS(Data!$R$2:$R$301,$A76,Data!$P$2:$P$301,"Pass")/B76,0)</f>
        <v>0.84112149532710279</v>
      </c>
      <c r="E76" s="14">
        <f>IFERROR(AVERAGEIFS(Data!$D$2:$D$301,Data!$R$2:$R$301,$A76),0)</f>
        <v>10.737383177570095</v>
      </c>
      <c r="F76" s="14">
        <f>IFERROR(AVERAGEIFS(Data!$E$2:$E$301,Data!$R$2:$R$301,$A76),0)</f>
        <v>79.682242990654203</v>
      </c>
    </row>
    <row r="77" spans="1:6" x14ac:dyDescent="0.3">
      <c r="A77" s="21" t="str">
        <f>Settings!$B$30</f>
        <v>85 to 94%</v>
      </c>
      <c r="B77" s="17">
        <f>COUNTIFS(Data!$R$2:$R$301,$A77)</f>
        <v>130</v>
      </c>
      <c r="C77" s="14">
        <f>IFERROR(AVERAGEIFS(Data!$N$2:$N$301,Data!$R$2:$R$301,$A77),0)</f>
        <v>64.546153846153857</v>
      </c>
      <c r="D77" s="15">
        <f>IFERROR(COUNTIFS(Data!$R$2:$R$301,$A77,Data!$P$2:$P$301,"Pass")/B77,0)</f>
        <v>0.9538461538461539</v>
      </c>
      <c r="E77" s="14">
        <f>IFERROR(AVERAGEIFS(Data!$D$2:$D$301,Data!$R$2:$R$301,$A77),0)</f>
        <v>11.848461538461532</v>
      </c>
      <c r="F77" s="14">
        <f>IFERROR(AVERAGEIFS(Data!$E$2:$E$301,Data!$R$2:$R$301,$A77),0)</f>
        <v>88.984615384615381</v>
      </c>
    </row>
    <row r="78" spans="1:6" x14ac:dyDescent="0.3">
      <c r="A78" s="21" t="str">
        <f>Settings!$B$31</f>
        <v>95 to 100%</v>
      </c>
      <c r="B78" s="17">
        <f>COUNTIFS(Data!$R$2:$R$301,$A78)</f>
        <v>31</v>
      </c>
      <c r="C78" s="14">
        <f>IFERROR(AVERAGEIFS(Data!$N$2:$N$301,Data!$R$2:$R$301,$A78),0)</f>
        <v>66.07096774193549</v>
      </c>
      <c r="D78" s="15">
        <f>IFERROR(COUNTIFS(Data!$R$2:$R$301,$A78,Data!$P$2:$P$301,"Pass")/B78,0)</f>
        <v>0.967741935483871</v>
      </c>
      <c r="E78" s="14">
        <f>IFERROR(AVERAGEIFS(Data!$D$2:$D$301,Data!$R$2:$R$301,$A78),0)</f>
        <v>12.174193548387096</v>
      </c>
      <c r="F78" s="14">
        <f>IFERROR(AVERAGEIFS(Data!$E$2:$E$301,Data!$R$2:$R$301,$A78),0)</f>
        <v>97.322580645161295</v>
      </c>
    </row>
    <row r="79" spans="1:6" x14ac:dyDescent="0.3">
      <c r="A79" s="12" t="s">
        <v>54</v>
      </c>
      <c r="B79" s="12">
        <f>SUM(B75:B78)</f>
        <v>300</v>
      </c>
      <c r="C79" s="19">
        <f>AVERAGE(Data!$N$2:$N$301)</f>
        <v>61.601333333333329</v>
      </c>
      <c r="D79" s="20">
        <f>COUNTIF(Data!$P$2:$P$301,"Pass")/COUNTA(Data!$A$2:$A$301)</f>
        <v>0.89</v>
      </c>
      <c r="E79" s="19">
        <f>AVERAGE(Data!$D$2:$D$301)</f>
        <v>11.28733333333334</v>
      </c>
      <c r="F79" s="19">
        <f>AVERAGE(Data!$E$2:$E$301)</f>
        <v>84.583333333333329</v>
      </c>
    </row>
    <row r="80" spans="1:6" x14ac:dyDescent="0.3">
      <c r="A80" s="11"/>
      <c r="B80" s="11"/>
      <c r="C80" s="11"/>
      <c r="D80" s="11"/>
      <c r="E80" s="11"/>
      <c r="F80" s="11"/>
    </row>
    <row r="81" spans="1:6" ht="15.6" x14ac:dyDescent="0.3">
      <c r="A81" s="9" t="s">
        <v>75</v>
      </c>
      <c r="B81" s="11"/>
      <c r="C81" s="11"/>
      <c r="D81" s="11"/>
      <c r="E81" s="11"/>
      <c r="F81" s="11"/>
    </row>
    <row r="82" spans="1:6" x14ac:dyDescent="0.3">
      <c r="A82" s="16" t="s">
        <v>76</v>
      </c>
      <c r="B82" s="16" t="s">
        <v>50</v>
      </c>
      <c r="C82" s="16" t="s">
        <v>77</v>
      </c>
      <c r="D82" s="11"/>
      <c r="E82" s="11"/>
      <c r="F82" s="11"/>
    </row>
    <row r="83" spans="1:6" x14ac:dyDescent="0.3">
      <c r="A83" s="21" t="str">
        <f>Settings!$B$14</f>
        <v>A</v>
      </c>
      <c r="B83" s="17">
        <f>COUNTIF(Data!$O$2:$O$301,A83)</f>
        <v>3</v>
      </c>
      <c r="C83" s="15">
        <f>B83/COUNTA(Data!$A$2:$A$301)</f>
        <v>0.01</v>
      </c>
      <c r="D83" s="11"/>
      <c r="E83" s="11"/>
      <c r="F83" s="11"/>
    </row>
    <row r="84" spans="1:6" x14ac:dyDescent="0.3">
      <c r="A84" s="21" t="str">
        <f>Settings!$B$13</f>
        <v>B</v>
      </c>
      <c r="B84" s="17">
        <f>COUNTIF(Data!$O$2:$O$301,A84)</f>
        <v>58</v>
      </c>
      <c r="C84" s="15">
        <f>B84/COUNTA(Data!$A$2:$A$301)</f>
        <v>0.19333333333333333</v>
      </c>
      <c r="D84" s="11"/>
      <c r="E84" s="11"/>
      <c r="F84" s="11"/>
    </row>
    <row r="85" spans="1:6" x14ac:dyDescent="0.3">
      <c r="A85" s="21" t="str">
        <f>Settings!$B$12</f>
        <v>C</v>
      </c>
      <c r="B85" s="17">
        <f>COUNTIF(Data!$O$2:$O$301,A85)</f>
        <v>117</v>
      </c>
      <c r="C85" s="15">
        <f>B85/COUNTA(Data!$A$2:$A$301)</f>
        <v>0.39</v>
      </c>
      <c r="D85" s="11"/>
      <c r="E85" s="11"/>
      <c r="F85" s="11"/>
    </row>
    <row r="86" spans="1:6" x14ac:dyDescent="0.3">
      <c r="A86" s="21" t="str">
        <f>Settings!$B$11</f>
        <v>D</v>
      </c>
      <c r="B86" s="17">
        <f>COUNTIF(Data!$O$2:$O$301,A86)</f>
        <v>89</v>
      </c>
      <c r="C86" s="15">
        <f>B86/COUNTA(Data!$A$2:$A$301)</f>
        <v>0.29666666666666669</v>
      </c>
      <c r="D86" s="11"/>
      <c r="E86" s="11"/>
      <c r="F86" s="11"/>
    </row>
    <row r="87" spans="1:6" x14ac:dyDescent="0.3">
      <c r="A87" s="21" t="str">
        <f>Settings!$B$10</f>
        <v>F</v>
      </c>
      <c r="B87" s="17">
        <f>COUNTIF(Data!$O$2:$O$301,A87)</f>
        <v>33</v>
      </c>
      <c r="C87" s="15">
        <f>B87/COUNTA(Data!$A$2:$A$301)</f>
        <v>0.11</v>
      </c>
      <c r="D87" s="11"/>
      <c r="E87" s="11"/>
      <c r="F87" s="11"/>
    </row>
    <row r="88" spans="1:6" x14ac:dyDescent="0.3">
      <c r="A88" s="11"/>
      <c r="B88" s="11"/>
      <c r="C88" s="11"/>
      <c r="D88" s="11"/>
      <c r="E88" s="11"/>
      <c r="F88" s="11"/>
    </row>
    <row r="89" spans="1:6" ht="15.6" x14ac:dyDescent="0.3">
      <c r="A89" s="9" t="s">
        <v>78</v>
      </c>
      <c r="B89" s="11"/>
      <c r="C89" s="11"/>
      <c r="D89" s="11"/>
      <c r="E89" s="11"/>
      <c r="F89" s="11"/>
    </row>
    <row r="90" spans="1:6" x14ac:dyDescent="0.3">
      <c r="A90" s="16" t="s">
        <v>79</v>
      </c>
      <c r="B90" s="16" t="s">
        <v>80</v>
      </c>
      <c r="C90" s="16" t="s">
        <v>81</v>
      </c>
      <c r="D90" s="11"/>
      <c r="E90" s="11"/>
      <c r="F90" s="11"/>
    </row>
    <row r="91" spans="1:6" x14ac:dyDescent="0.3">
      <c r="A91" s="17" t="s">
        <v>82</v>
      </c>
      <c r="B91" s="22">
        <f>CORREL(Data!$D$2:$D$301,Data!$N$2:$N$301)</f>
        <v>0.68287329942347275</v>
      </c>
      <c r="C91" s="17" t="str">
        <f>IF(ABS(B91)&gt;=0.6,"Strong",IF(ABS(B91)&gt;=0.3,"Moderate",IF(ABS(B91)&gt;=0.1,"Weak","Negligible")))</f>
        <v>Strong</v>
      </c>
      <c r="D91" s="11"/>
      <c r="E91" s="11"/>
      <c r="F91" s="11"/>
    </row>
    <row r="92" spans="1:6" x14ac:dyDescent="0.3">
      <c r="A92" s="17" t="s">
        <v>83</v>
      </c>
      <c r="B92" s="22">
        <f>CORREL(Data!$E$2:$E$301,Data!$N$2:$N$301)</f>
        <v>0.39876141909724239</v>
      </c>
      <c r="C92" s="17" t="str">
        <f>IF(ABS(B92)&gt;=0.6,"Strong",IF(ABS(B92)&gt;=0.3,"Moderate",IF(ABS(B92)&gt;=0.1,"Weak","Negligible")))</f>
        <v>Moderate</v>
      </c>
      <c r="D92" s="11"/>
      <c r="E92" s="11"/>
      <c r="F92" s="11"/>
    </row>
    <row r="93" spans="1:6" x14ac:dyDescent="0.3">
      <c r="A93" s="17" t="s">
        <v>84</v>
      </c>
      <c r="B93" s="22">
        <f>CORREL(Data!$D$2:$D$301,Data!$E$2:$E$301)</f>
        <v>0.1454879731519389</v>
      </c>
      <c r="C93" s="17" t="str">
        <f>IF(ABS(B93)&gt;=0.6,"Strong",IF(ABS(B93)&gt;=0.3,"Moderate",IF(ABS(B93)&gt;=0.1,"Weak","Negligible")))</f>
        <v>Weak</v>
      </c>
      <c r="D93" s="11"/>
      <c r="E93" s="11"/>
      <c r="F93" s="11"/>
    </row>
    <row r="94" spans="1:6" x14ac:dyDescent="0.3">
      <c r="A94" s="7" t="s">
        <v>85</v>
      </c>
      <c r="B94" s="11"/>
      <c r="C94" s="11"/>
      <c r="D94" s="11"/>
      <c r="E94" s="11"/>
      <c r="F94" s="11"/>
    </row>
    <row r="95" spans="1:6" x14ac:dyDescent="0.3">
      <c r="A95" s="11"/>
      <c r="B95" s="11"/>
      <c r="C95" s="11"/>
      <c r="D95" s="11"/>
      <c r="E95" s="11"/>
      <c r="F95" s="11"/>
    </row>
    <row r="96" spans="1:6" x14ac:dyDescent="0.3">
      <c r="A96" s="11"/>
      <c r="B96" s="11"/>
      <c r="C96" s="11"/>
      <c r="D96" s="11"/>
      <c r="E96" s="11"/>
      <c r="F96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topLeftCell="A65" zoomScaleNormal="100" workbookViewId="0">
      <selection activeCell="E3" sqref="E3"/>
    </sheetView>
  </sheetViews>
  <sheetFormatPr defaultColWidth="8.6640625" defaultRowHeight="14.4" x14ac:dyDescent="0.3"/>
  <cols>
    <col min="1" max="7" width="14" customWidth="1"/>
  </cols>
  <sheetData>
    <row r="1" spans="1:7" ht="21" x14ac:dyDescent="0.4">
      <c r="A1" s="8" t="s">
        <v>86</v>
      </c>
    </row>
    <row r="2" spans="1:7" x14ac:dyDescent="0.3">
      <c r="A2" s="7" t="s">
        <v>87</v>
      </c>
    </row>
    <row r="4" spans="1:7" ht="15.6" x14ac:dyDescent="0.3">
      <c r="A4" s="9" t="s">
        <v>88</v>
      </c>
    </row>
    <row r="5" spans="1:7" x14ac:dyDescent="0.3">
      <c r="A5" s="16" t="s">
        <v>89</v>
      </c>
      <c r="B5" s="16" t="s">
        <v>90</v>
      </c>
      <c r="C5" s="16" t="s">
        <v>91</v>
      </c>
      <c r="D5" s="16" t="s">
        <v>35</v>
      </c>
      <c r="E5" s="16" t="s">
        <v>92</v>
      </c>
      <c r="F5" s="16" t="s">
        <v>93</v>
      </c>
      <c r="G5" s="16" t="s">
        <v>94</v>
      </c>
    </row>
    <row r="6" spans="1:7" x14ac:dyDescent="0.3">
      <c r="A6" s="23">
        <v>1</v>
      </c>
      <c r="B6" s="17" t="str">
        <f>INDEX(Data!$A$2:$A$301,MATCH($A6,Data!$T$2:$T$301,0))</f>
        <v>S067</v>
      </c>
      <c r="C6" s="17" t="str">
        <f>INDEX(Data!$C$2:$C$301,MATCH($A6,Data!$T$2:$T$301,0))</f>
        <v>Grade 12</v>
      </c>
      <c r="D6" s="14">
        <f>INDEX(Data!$N$2:$N$301,MATCH($A6,Data!$T$2:$T$301,0))</f>
        <v>88.6</v>
      </c>
      <c r="E6" s="14">
        <f>INDEX(Data!$D$2:$D$301,MATCH($A6,Data!$T$2:$T$301,0))</f>
        <v>18</v>
      </c>
      <c r="F6" s="17">
        <f>INDEX(Data!$E$2:$E$301,MATCH($A6,Data!$T$2:$T$301,0))</f>
        <v>95</v>
      </c>
      <c r="G6" s="17" t="str">
        <f>INDEX(Data!$S$2:$S$301,MATCH($A6,Data!$T$2:$T$301,0))</f>
        <v>No</v>
      </c>
    </row>
    <row r="7" spans="1:7" x14ac:dyDescent="0.3">
      <c r="A7" s="23">
        <v>2</v>
      </c>
      <c r="B7" s="17" t="str">
        <f>INDEX(Data!$A$2:$A$301,MATCH($A7,Data!$T$2:$T$301,0))</f>
        <v>S121</v>
      </c>
      <c r="C7" s="17" t="str">
        <f>INDEX(Data!$C$2:$C$301,MATCH($A7,Data!$T$2:$T$301,0))</f>
        <v>Grade 11</v>
      </c>
      <c r="D7" s="14">
        <f>INDEX(Data!$N$2:$N$301,MATCH($A7,Data!$T$2:$T$301,0))</f>
        <v>83.6</v>
      </c>
      <c r="E7" s="14">
        <f>INDEX(Data!$D$2:$D$301,MATCH($A7,Data!$T$2:$T$301,0))</f>
        <v>17.899999999999999</v>
      </c>
      <c r="F7" s="17">
        <f>INDEX(Data!$E$2:$E$301,MATCH($A7,Data!$T$2:$T$301,0))</f>
        <v>94</v>
      </c>
      <c r="G7" s="17" t="str">
        <f>INDEX(Data!$S$2:$S$301,MATCH($A7,Data!$T$2:$T$301,0))</f>
        <v>No</v>
      </c>
    </row>
    <row r="8" spans="1:7" x14ac:dyDescent="0.3">
      <c r="A8" s="23">
        <v>3</v>
      </c>
      <c r="B8" s="17" t="str">
        <f>INDEX(Data!$A$2:$A$301,MATCH($A8,Data!$T$2:$T$301,0))</f>
        <v>S259</v>
      </c>
      <c r="C8" s="17" t="str">
        <f>INDEX(Data!$C$2:$C$301,MATCH($A8,Data!$T$2:$T$301,0))</f>
        <v>Grade 11</v>
      </c>
      <c r="D8" s="14">
        <f>INDEX(Data!$N$2:$N$301,MATCH($A8,Data!$T$2:$T$301,0))</f>
        <v>82.4</v>
      </c>
      <c r="E8" s="14">
        <f>INDEX(Data!$D$2:$D$301,MATCH($A8,Data!$T$2:$T$301,0))</f>
        <v>15</v>
      </c>
      <c r="F8" s="17">
        <f>INDEX(Data!$E$2:$E$301,MATCH($A8,Data!$T$2:$T$301,0))</f>
        <v>92</v>
      </c>
      <c r="G8" s="17" t="str">
        <f>INDEX(Data!$S$2:$S$301,MATCH($A8,Data!$T$2:$T$301,0))</f>
        <v>No</v>
      </c>
    </row>
    <row r="9" spans="1:7" x14ac:dyDescent="0.3">
      <c r="A9" s="23">
        <v>4</v>
      </c>
      <c r="B9" s="17" t="str">
        <f>INDEX(Data!$A$2:$A$301,MATCH($A9,Data!$T$2:$T$301,0))</f>
        <v>S072</v>
      </c>
      <c r="C9" s="17" t="str">
        <f>INDEX(Data!$C$2:$C$301,MATCH($A9,Data!$T$2:$T$301,0))</f>
        <v>Grade 10</v>
      </c>
      <c r="D9" s="14">
        <f>INDEX(Data!$N$2:$N$301,MATCH($A9,Data!$T$2:$T$301,0))</f>
        <v>79.8</v>
      </c>
      <c r="E9" s="14">
        <f>INDEX(Data!$D$2:$D$301,MATCH($A9,Data!$T$2:$T$301,0))</f>
        <v>13.5</v>
      </c>
      <c r="F9" s="17">
        <f>INDEX(Data!$E$2:$E$301,MATCH($A9,Data!$T$2:$T$301,0))</f>
        <v>87</v>
      </c>
      <c r="G9" s="17" t="str">
        <f>INDEX(Data!$S$2:$S$301,MATCH($A9,Data!$T$2:$T$301,0))</f>
        <v>No</v>
      </c>
    </row>
    <row r="10" spans="1:7" x14ac:dyDescent="0.3">
      <c r="A10" s="23">
        <v>5</v>
      </c>
      <c r="B10" s="17" t="str">
        <f>INDEX(Data!$A$2:$A$301,MATCH($A10,Data!$T$2:$T$301,0))</f>
        <v>S224</v>
      </c>
      <c r="C10" s="17" t="str">
        <f>INDEX(Data!$C$2:$C$301,MATCH($A10,Data!$T$2:$T$301,0))</f>
        <v>Grade 11</v>
      </c>
      <c r="D10" s="14">
        <f>INDEX(Data!$N$2:$N$301,MATCH($A10,Data!$T$2:$T$301,0))</f>
        <v>79</v>
      </c>
      <c r="E10" s="14">
        <f>INDEX(Data!$D$2:$D$301,MATCH($A10,Data!$T$2:$T$301,0))</f>
        <v>18.100000000000001</v>
      </c>
      <c r="F10" s="17">
        <f>INDEX(Data!$E$2:$E$301,MATCH($A10,Data!$T$2:$T$301,0))</f>
        <v>86</v>
      </c>
      <c r="G10" s="17" t="str">
        <f>INDEX(Data!$S$2:$S$301,MATCH($A10,Data!$T$2:$T$301,0))</f>
        <v>No</v>
      </c>
    </row>
    <row r="11" spans="1:7" x14ac:dyDescent="0.3">
      <c r="A11" s="23">
        <v>6</v>
      </c>
      <c r="B11" s="17" t="str">
        <f>INDEX(Data!$A$2:$A$301,MATCH($A11,Data!$T$2:$T$301,0))</f>
        <v>S249</v>
      </c>
      <c r="C11" s="17" t="str">
        <f>INDEX(Data!$C$2:$C$301,MATCH($A11,Data!$T$2:$T$301,0))</f>
        <v>Grade 12</v>
      </c>
      <c r="D11" s="14">
        <f>INDEX(Data!$N$2:$N$301,MATCH($A11,Data!$T$2:$T$301,0))</f>
        <v>79</v>
      </c>
      <c r="E11" s="14">
        <f>INDEX(Data!$D$2:$D$301,MATCH($A11,Data!$T$2:$T$301,0))</f>
        <v>17.100000000000001</v>
      </c>
      <c r="F11" s="17">
        <f>INDEX(Data!$E$2:$E$301,MATCH($A11,Data!$T$2:$T$301,0))</f>
        <v>97</v>
      </c>
      <c r="G11" s="17" t="str">
        <f>INDEX(Data!$S$2:$S$301,MATCH($A11,Data!$T$2:$T$301,0))</f>
        <v>No</v>
      </c>
    </row>
    <row r="12" spans="1:7" x14ac:dyDescent="0.3">
      <c r="A12" s="23">
        <v>7</v>
      </c>
      <c r="B12" s="17" t="str">
        <f>INDEX(Data!$A$2:$A$301,MATCH($A12,Data!$T$2:$T$301,0))</f>
        <v>S170</v>
      </c>
      <c r="C12" s="17" t="str">
        <f>INDEX(Data!$C$2:$C$301,MATCH($A12,Data!$T$2:$T$301,0))</f>
        <v>Grade 11</v>
      </c>
      <c r="D12" s="14">
        <f>INDEX(Data!$N$2:$N$301,MATCH($A12,Data!$T$2:$T$301,0))</f>
        <v>78.8</v>
      </c>
      <c r="E12" s="14">
        <f>INDEX(Data!$D$2:$D$301,MATCH($A12,Data!$T$2:$T$301,0))</f>
        <v>17.399999999999999</v>
      </c>
      <c r="F12" s="17">
        <f>INDEX(Data!$E$2:$E$301,MATCH($A12,Data!$T$2:$T$301,0))</f>
        <v>93</v>
      </c>
      <c r="G12" s="17" t="str">
        <f>INDEX(Data!$S$2:$S$301,MATCH($A12,Data!$T$2:$T$301,0))</f>
        <v>No</v>
      </c>
    </row>
    <row r="13" spans="1:7" x14ac:dyDescent="0.3">
      <c r="A13" s="23">
        <v>8</v>
      </c>
      <c r="B13" s="17" t="str">
        <f>INDEX(Data!$A$2:$A$301,MATCH($A13,Data!$T$2:$T$301,0))</f>
        <v>S238</v>
      </c>
      <c r="C13" s="17" t="str">
        <f>INDEX(Data!$C$2:$C$301,MATCH($A13,Data!$T$2:$T$301,0))</f>
        <v>Grade 10</v>
      </c>
      <c r="D13" s="14">
        <f>INDEX(Data!$N$2:$N$301,MATCH($A13,Data!$T$2:$T$301,0))</f>
        <v>78.8</v>
      </c>
      <c r="E13" s="14">
        <f>INDEX(Data!$D$2:$D$301,MATCH($A13,Data!$T$2:$T$301,0))</f>
        <v>23.9</v>
      </c>
      <c r="F13" s="17">
        <f>INDEX(Data!$E$2:$E$301,MATCH($A13,Data!$T$2:$T$301,0))</f>
        <v>89</v>
      </c>
      <c r="G13" s="17" t="str">
        <f>INDEX(Data!$S$2:$S$301,MATCH($A13,Data!$T$2:$T$301,0))</f>
        <v>No</v>
      </c>
    </row>
    <row r="14" spans="1:7" x14ac:dyDescent="0.3">
      <c r="A14" s="23">
        <v>9</v>
      </c>
      <c r="B14" s="17" t="str">
        <f>INDEX(Data!$A$2:$A$301,MATCH($A14,Data!$T$2:$T$301,0))</f>
        <v>S143</v>
      </c>
      <c r="C14" s="17" t="str">
        <f>INDEX(Data!$C$2:$C$301,MATCH($A14,Data!$T$2:$T$301,0))</f>
        <v>Grade 12</v>
      </c>
      <c r="D14" s="14">
        <f>INDEX(Data!$N$2:$N$301,MATCH($A14,Data!$T$2:$T$301,0))</f>
        <v>78.599999999999994</v>
      </c>
      <c r="E14" s="14">
        <f>INDEX(Data!$D$2:$D$301,MATCH($A14,Data!$T$2:$T$301,0))</f>
        <v>18.3</v>
      </c>
      <c r="F14" s="17">
        <f>INDEX(Data!$E$2:$E$301,MATCH($A14,Data!$T$2:$T$301,0))</f>
        <v>93</v>
      </c>
      <c r="G14" s="17" t="str">
        <f>INDEX(Data!$S$2:$S$301,MATCH($A14,Data!$T$2:$T$301,0))</f>
        <v>No</v>
      </c>
    </row>
    <row r="15" spans="1:7" x14ac:dyDescent="0.3">
      <c r="A15" s="23">
        <v>10</v>
      </c>
      <c r="B15" s="17" t="str">
        <f>INDEX(Data!$A$2:$A$301,MATCH($A15,Data!$T$2:$T$301,0))</f>
        <v>S169</v>
      </c>
      <c r="C15" s="17" t="str">
        <f>INDEX(Data!$C$2:$C$301,MATCH($A15,Data!$T$2:$T$301,0))</f>
        <v>Grade 10</v>
      </c>
      <c r="D15" s="14">
        <f>INDEX(Data!$N$2:$N$301,MATCH($A15,Data!$T$2:$T$301,0))</f>
        <v>78.599999999999994</v>
      </c>
      <c r="E15" s="14">
        <f>INDEX(Data!$D$2:$D$301,MATCH($A15,Data!$T$2:$T$301,0))</f>
        <v>13.9</v>
      </c>
      <c r="F15" s="17">
        <f>INDEX(Data!$E$2:$E$301,MATCH($A15,Data!$T$2:$T$301,0))</f>
        <v>93</v>
      </c>
      <c r="G15" s="17" t="str">
        <f>INDEX(Data!$S$2:$S$301,MATCH($A15,Data!$T$2:$T$301,0))</f>
        <v>No</v>
      </c>
    </row>
    <row r="18" spans="1:7" ht="15.6" x14ac:dyDescent="0.3">
      <c r="A18" s="9" t="s">
        <v>95</v>
      </c>
    </row>
    <row r="19" spans="1:7" x14ac:dyDescent="0.3">
      <c r="A19" s="16" t="s">
        <v>89</v>
      </c>
      <c r="B19" s="16" t="s">
        <v>90</v>
      </c>
      <c r="C19" s="16" t="s">
        <v>91</v>
      </c>
      <c r="D19" s="16" t="s">
        <v>35</v>
      </c>
      <c r="E19" s="16" t="s">
        <v>92</v>
      </c>
      <c r="F19" s="16" t="s">
        <v>93</v>
      </c>
      <c r="G19" s="16" t="s">
        <v>94</v>
      </c>
    </row>
    <row r="20" spans="1:7" x14ac:dyDescent="0.3">
      <c r="A20" s="17">
        <f>COUNT(Data!$N$2:$N$301)-9</f>
        <v>291</v>
      </c>
      <c r="B20" s="17" t="str">
        <f>INDEX(Data!$A$2:$A$301,MATCH($A20,Data!$T$2:$T$301,0))</f>
        <v>S160</v>
      </c>
      <c r="C20" s="17" t="str">
        <f>INDEX(Data!$C$2:$C$301,MATCH($A20,Data!$T$2:$T$301,0))</f>
        <v>Grade 11</v>
      </c>
      <c r="D20" s="14">
        <f>INDEX(Data!$N$2:$N$301,MATCH($A20,Data!$T$2:$T$301,0))</f>
        <v>43.8</v>
      </c>
      <c r="E20" s="14">
        <f>INDEX(Data!$D$2:$D$301,MATCH($A20,Data!$T$2:$T$301,0))</f>
        <v>8.1999999999999993</v>
      </c>
      <c r="F20" s="17">
        <f>INDEX(Data!$E$2:$E$301,MATCH($A20,Data!$T$2:$T$301,0))</f>
        <v>73</v>
      </c>
      <c r="G20" s="17" t="str">
        <f>INDEX(Data!$S$2:$S$301,MATCH($A20,Data!$T$2:$T$301,0))</f>
        <v>Yes</v>
      </c>
    </row>
    <row r="21" spans="1:7" x14ac:dyDescent="0.3">
      <c r="A21" s="17">
        <f>COUNT(Data!$N$2:$N$301)-8</f>
        <v>292</v>
      </c>
      <c r="B21" s="17" t="str">
        <f>INDEX(Data!$A$2:$A$301,MATCH($A21,Data!$T$2:$T$301,0))</f>
        <v>S244</v>
      </c>
      <c r="C21" s="17" t="str">
        <f>INDEX(Data!$C$2:$C$301,MATCH($A21,Data!$T$2:$T$301,0))</f>
        <v>Grade 12</v>
      </c>
      <c r="D21" s="14">
        <f>INDEX(Data!$N$2:$N$301,MATCH($A21,Data!$T$2:$T$301,0))</f>
        <v>43.8</v>
      </c>
      <c r="E21" s="14">
        <f>INDEX(Data!$D$2:$D$301,MATCH($A21,Data!$T$2:$T$301,0))</f>
        <v>1</v>
      </c>
      <c r="F21" s="17">
        <f>INDEX(Data!$E$2:$E$301,MATCH($A21,Data!$T$2:$T$301,0))</f>
        <v>85</v>
      </c>
      <c r="G21" s="17" t="str">
        <f>INDEX(Data!$S$2:$S$301,MATCH($A21,Data!$T$2:$T$301,0))</f>
        <v>Yes</v>
      </c>
    </row>
    <row r="22" spans="1:7" x14ac:dyDescent="0.3">
      <c r="A22" s="17">
        <f>COUNT(Data!$N$2:$N$301)-7</f>
        <v>293</v>
      </c>
      <c r="B22" s="17" t="str">
        <f>INDEX(Data!$A$2:$A$301,MATCH($A22,Data!$T$2:$T$301,0))</f>
        <v>S196</v>
      </c>
      <c r="C22" s="17" t="str">
        <f>INDEX(Data!$C$2:$C$301,MATCH($A22,Data!$T$2:$T$301,0))</f>
        <v>Grade 11</v>
      </c>
      <c r="D22" s="14">
        <f>INDEX(Data!$N$2:$N$301,MATCH($A22,Data!$T$2:$T$301,0))</f>
        <v>43.4</v>
      </c>
      <c r="E22" s="14">
        <f>INDEX(Data!$D$2:$D$301,MATCH($A22,Data!$T$2:$T$301,0))</f>
        <v>4.2</v>
      </c>
      <c r="F22" s="17">
        <f>INDEX(Data!$E$2:$E$301,MATCH($A22,Data!$T$2:$T$301,0))</f>
        <v>75</v>
      </c>
      <c r="G22" s="17" t="str">
        <f>INDEX(Data!$S$2:$S$301,MATCH($A22,Data!$T$2:$T$301,0))</f>
        <v>Yes</v>
      </c>
    </row>
    <row r="23" spans="1:7" x14ac:dyDescent="0.3">
      <c r="A23" s="17">
        <f>COUNT(Data!$N$2:$N$301)-6</f>
        <v>294</v>
      </c>
      <c r="B23" s="17" t="str">
        <f>INDEX(Data!$A$2:$A$301,MATCH($A23,Data!$T$2:$T$301,0))</f>
        <v>S212</v>
      </c>
      <c r="C23" s="17" t="str">
        <f>INDEX(Data!$C$2:$C$301,MATCH($A23,Data!$T$2:$T$301,0))</f>
        <v>Grade 12</v>
      </c>
      <c r="D23" s="14">
        <f>INDEX(Data!$N$2:$N$301,MATCH($A23,Data!$T$2:$T$301,0))</f>
        <v>42.6</v>
      </c>
      <c r="E23" s="14">
        <f>INDEX(Data!$D$2:$D$301,MATCH($A23,Data!$T$2:$T$301,0))</f>
        <v>4</v>
      </c>
      <c r="F23" s="17">
        <f>INDEX(Data!$E$2:$E$301,MATCH($A23,Data!$T$2:$T$301,0))</f>
        <v>81</v>
      </c>
      <c r="G23" s="17" t="str">
        <f>INDEX(Data!$S$2:$S$301,MATCH($A23,Data!$T$2:$T$301,0))</f>
        <v>Yes</v>
      </c>
    </row>
    <row r="24" spans="1:7" x14ac:dyDescent="0.3">
      <c r="A24" s="17">
        <f>COUNT(Data!$N$2:$N$301)-5</f>
        <v>295</v>
      </c>
      <c r="B24" s="17" t="str">
        <f>INDEX(Data!$A$2:$A$301,MATCH($A24,Data!$T$2:$T$301,0))</f>
        <v>S198</v>
      </c>
      <c r="C24" s="17" t="str">
        <f>INDEX(Data!$C$2:$C$301,MATCH($A24,Data!$T$2:$T$301,0))</f>
        <v>Grade 11</v>
      </c>
      <c r="D24" s="14">
        <f>INDEX(Data!$N$2:$N$301,MATCH($A24,Data!$T$2:$T$301,0))</f>
        <v>42</v>
      </c>
      <c r="E24" s="14">
        <f>INDEX(Data!$D$2:$D$301,MATCH($A24,Data!$T$2:$T$301,0))</f>
        <v>3.2</v>
      </c>
      <c r="F24" s="17">
        <f>INDEX(Data!$E$2:$E$301,MATCH($A24,Data!$T$2:$T$301,0))</f>
        <v>74</v>
      </c>
      <c r="G24" s="17" t="str">
        <f>INDEX(Data!$S$2:$S$301,MATCH($A24,Data!$T$2:$T$301,0))</f>
        <v>Yes</v>
      </c>
    </row>
    <row r="25" spans="1:7" x14ac:dyDescent="0.3">
      <c r="A25" s="17">
        <f>COUNT(Data!$N$2:$N$301)-4</f>
        <v>296</v>
      </c>
      <c r="B25" s="17" t="str">
        <f>INDEX(Data!$A$2:$A$301,MATCH($A25,Data!$T$2:$T$301,0))</f>
        <v>S019</v>
      </c>
      <c r="C25" s="17" t="str">
        <f>INDEX(Data!$C$2:$C$301,MATCH($A25,Data!$T$2:$T$301,0))</f>
        <v>Grade 10</v>
      </c>
      <c r="D25" s="14">
        <f>INDEX(Data!$N$2:$N$301,MATCH($A25,Data!$T$2:$T$301,0))</f>
        <v>41.4</v>
      </c>
      <c r="E25" s="14">
        <f>INDEX(Data!$D$2:$D$301,MATCH($A25,Data!$T$2:$T$301,0))</f>
        <v>10</v>
      </c>
      <c r="F25" s="17">
        <f>INDEX(Data!$E$2:$E$301,MATCH($A25,Data!$T$2:$T$301,0))</f>
        <v>76</v>
      </c>
      <c r="G25" s="17" t="str">
        <f>INDEX(Data!$S$2:$S$301,MATCH($A25,Data!$T$2:$T$301,0))</f>
        <v>Yes</v>
      </c>
    </row>
    <row r="26" spans="1:7" x14ac:dyDescent="0.3">
      <c r="A26" s="17">
        <f>COUNT(Data!$N$2:$N$301)-3</f>
        <v>297</v>
      </c>
      <c r="B26" s="17" t="str">
        <f>INDEX(Data!$A$2:$A$301,MATCH($A26,Data!$T$2:$T$301,0))</f>
        <v>S132</v>
      </c>
      <c r="C26" s="17" t="str">
        <f>INDEX(Data!$C$2:$C$301,MATCH($A26,Data!$T$2:$T$301,0))</f>
        <v>Grade 12</v>
      </c>
      <c r="D26" s="14">
        <f>INDEX(Data!$N$2:$N$301,MATCH($A26,Data!$T$2:$T$301,0))</f>
        <v>37.4</v>
      </c>
      <c r="E26" s="14">
        <f>INDEX(Data!$D$2:$D$301,MATCH($A26,Data!$T$2:$T$301,0))</f>
        <v>5</v>
      </c>
      <c r="F26" s="17">
        <f>INDEX(Data!$E$2:$E$301,MATCH($A26,Data!$T$2:$T$301,0))</f>
        <v>78</v>
      </c>
      <c r="G26" s="17" t="str">
        <f>INDEX(Data!$S$2:$S$301,MATCH($A26,Data!$T$2:$T$301,0))</f>
        <v>Yes</v>
      </c>
    </row>
    <row r="27" spans="1:7" x14ac:dyDescent="0.3">
      <c r="A27" s="17">
        <f>COUNT(Data!$N$2:$N$301)-2</f>
        <v>298</v>
      </c>
      <c r="B27" s="17" t="str">
        <f>INDEX(Data!$A$2:$A$301,MATCH($A27,Data!$T$2:$T$301,0))</f>
        <v>S127</v>
      </c>
      <c r="C27" s="17" t="str">
        <f>INDEX(Data!$C$2:$C$301,MATCH($A27,Data!$T$2:$T$301,0))</f>
        <v>Grade 10</v>
      </c>
      <c r="D27" s="14">
        <f>INDEX(Data!$N$2:$N$301,MATCH($A27,Data!$T$2:$T$301,0))</f>
        <v>37.200000000000003</v>
      </c>
      <c r="E27" s="14">
        <f>INDEX(Data!$D$2:$D$301,MATCH($A27,Data!$T$2:$T$301,0))</f>
        <v>1</v>
      </c>
      <c r="F27" s="17">
        <f>INDEX(Data!$E$2:$E$301,MATCH($A27,Data!$T$2:$T$301,0))</f>
        <v>74</v>
      </c>
      <c r="G27" s="17" t="str">
        <f>INDEX(Data!$S$2:$S$301,MATCH($A27,Data!$T$2:$T$301,0))</f>
        <v>Yes</v>
      </c>
    </row>
    <row r="28" spans="1:7" x14ac:dyDescent="0.3">
      <c r="A28" s="17">
        <f>COUNT(Data!$N$2:$N$301)-1</f>
        <v>299</v>
      </c>
      <c r="B28" s="17" t="str">
        <f>INDEX(Data!$A$2:$A$301,MATCH($A28,Data!$T$2:$T$301,0))</f>
        <v>S216</v>
      </c>
      <c r="C28" s="17" t="str">
        <f>INDEX(Data!$C$2:$C$301,MATCH($A28,Data!$T$2:$T$301,0))</f>
        <v>Grade 10</v>
      </c>
      <c r="D28" s="14">
        <f>INDEX(Data!$N$2:$N$301,MATCH($A28,Data!$T$2:$T$301,0))</f>
        <v>36.6</v>
      </c>
      <c r="E28" s="14">
        <f>INDEX(Data!$D$2:$D$301,MATCH($A28,Data!$T$2:$T$301,0))</f>
        <v>3.9</v>
      </c>
      <c r="F28" s="17">
        <f>INDEX(Data!$E$2:$E$301,MATCH($A28,Data!$T$2:$T$301,0))</f>
        <v>90</v>
      </c>
      <c r="G28" s="17" t="str">
        <f>INDEX(Data!$S$2:$S$301,MATCH($A28,Data!$T$2:$T$301,0))</f>
        <v>Yes</v>
      </c>
    </row>
    <row r="29" spans="1:7" x14ac:dyDescent="0.3">
      <c r="A29" s="17">
        <f>COUNT(Data!$N$2:$N$301)-0</f>
        <v>300</v>
      </c>
      <c r="B29" s="17" t="str">
        <f>INDEX(Data!$A$2:$A$301,MATCH($A29,Data!$T$2:$T$301,0))</f>
        <v>S183</v>
      </c>
      <c r="C29" s="17" t="str">
        <f>INDEX(Data!$C$2:$C$301,MATCH($A29,Data!$T$2:$T$301,0))</f>
        <v>Grade 11</v>
      </c>
      <c r="D29" s="14">
        <f>INDEX(Data!$N$2:$N$301,MATCH($A29,Data!$T$2:$T$301,0))</f>
        <v>32.200000000000003</v>
      </c>
      <c r="E29" s="14">
        <f>INDEX(Data!$D$2:$D$301,MATCH($A29,Data!$T$2:$T$301,0))</f>
        <v>1</v>
      </c>
      <c r="F29" s="17">
        <f>INDEX(Data!$E$2:$E$301,MATCH($A29,Data!$T$2:$T$301,0))</f>
        <v>73</v>
      </c>
      <c r="G29" s="17" t="str">
        <f>INDEX(Data!$S$2:$S$301,MATCH($A29,Data!$T$2:$T$301,0))</f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1"/>
  <sheetViews>
    <sheetView zoomScaleNormal="100" workbookViewId="0">
      <pane xSplit="1" ySplit="1" topLeftCell="M41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1" customWidth="1"/>
    <col min="2" max="2" width="9" customWidth="1"/>
    <col min="3" max="3" width="11" customWidth="1"/>
    <col min="4" max="4" width="10" customWidth="1"/>
    <col min="5" max="5" width="11" customWidth="1"/>
    <col min="6" max="6" width="13" customWidth="1"/>
    <col min="7" max="7" width="10" customWidth="1"/>
    <col min="8" max="8" width="12" customWidth="1"/>
    <col min="9" max="9" width="8" customWidth="1"/>
    <col min="10" max="11" width="9" customWidth="1"/>
    <col min="12" max="12" width="11" customWidth="1"/>
    <col min="13" max="13" width="7" customWidth="1"/>
    <col min="14" max="15" width="9" customWidth="1"/>
    <col min="16" max="16" width="8" customWidth="1"/>
    <col min="17" max="17" width="14" customWidth="1"/>
    <col min="18" max="18" width="16" customWidth="1"/>
    <col min="19" max="19" width="9" customWidth="1"/>
    <col min="20" max="20" width="7" customWidth="1"/>
  </cols>
  <sheetData>
    <row r="1" spans="1:20" ht="31.5" customHeight="1" x14ac:dyDescent="0.3">
      <c r="A1" s="16" t="s">
        <v>96</v>
      </c>
      <c r="B1" s="16" t="s">
        <v>49</v>
      </c>
      <c r="C1" s="16" t="s">
        <v>97</v>
      </c>
      <c r="D1" s="16" t="s">
        <v>98</v>
      </c>
      <c r="E1" s="16" t="s">
        <v>99</v>
      </c>
      <c r="F1" s="16" t="s">
        <v>100</v>
      </c>
      <c r="G1" s="16" t="s">
        <v>101</v>
      </c>
      <c r="H1" s="16" t="s">
        <v>102</v>
      </c>
      <c r="I1" s="16" t="s">
        <v>39</v>
      </c>
      <c r="J1" s="16" t="s">
        <v>40</v>
      </c>
      <c r="K1" s="16" t="s">
        <v>41</v>
      </c>
      <c r="L1" s="16" t="s">
        <v>42</v>
      </c>
      <c r="M1" s="16" t="s">
        <v>43</v>
      </c>
      <c r="N1" s="16" t="s">
        <v>35</v>
      </c>
      <c r="O1" s="16" t="s">
        <v>103</v>
      </c>
      <c r="P1" s="16" t="s">
        <v>104</v>
      </c>
      <c r="Q1" s="16" t="s">
        <v>105</v>
      </c>
      <c r="R1" s="16" t="s">
        <v>106</v>
      </c>
      <c r="S1" s="16" t="s">
        <v>107</v>
      </c>
      <c r="T1" s="16" t="s">
        <v>89</v>
      </c>
    </row>
    <row r="2" spans="1:20" x14ac:dyDescent="0.3">
      <c r="A2" s="24" t="s">
        <v>108</v>
      </c>
      <c r="B2" s="24" t="s">
        <v>46</v>
      </c>
      <c r="C2" s="24" t="s">
        <v>59</v>
      </c>
      <c r="D2" s="25">
        <v>16.8</v>
      </c>
      <c r="E2" s="24">
        <v>78</v>
      </c>
      <c r="F2" s="24" t="s">
        <v>63</v>
      </c>
      <c r="G2" s="24" t="s">
        <v>67</v>
      </c>
      <c r="H2" s="24" t="s">
        <v>68</v>
      </c>
      <c r="I2" s="24">
        <v>70</v>
      </c>
      <c r="J2" s="24">
        <v>52</v>
      </c>
      <c r="K2" s="24">
        <v>51</v>
      </c>
      <c r="L2" s="24">
        <v>60</v>
      </c>
      <c r="M2" s="24">
        <v>65</v>
      </c>
      <c r="N2" s="26">
        <f t="shared" ref="N2:N65" si="0">ROUND(AVERAGE(I2:M2),1)</f>
        <v>59.6</v>
      </c>
      <c r="O2" s="11" t="str">
        <f>LOOKUP(N2,Settings!$A$10:$A$14,Settings!$B$10:$B$14)</f>
        <v>D</v>
      </c>
      <c r="P2" s="11" t="str">
        <f>IF(N2&gt;=Settings!$B$3,"Pass","Fail")</f>
        <v>Pass</v>
      </c>
      <c r="Q2" s="11" t="str">
        <f>LOOKUP(D2,Settings!$A$19:$A$23,Settings!$B$19:$B$23)</f>
        <v>15 to 19 hrs</v>
      </c>
      <c r="R2" s="11" t="str">
        <f>LOOKUP(E2,Settings!$A$28:$A$31,Settings!$B$28:$B$31)</f>
        <v>75 to 84%</v>
      </c>
      <c r="S2" s="11" t="str">
        <f>IF(OR(N2&lt;Settings!$B$4,E2&lt;Settings!$B$5),"Yes","No")</f>
        <v>No</v>
      </c>
      <c r="T2" s="11">
        <f>RANK(N2,$N$2:$N$301,0)+COUNTIF($N$2:N2,N2)-1</f>
        <v>180</v>
      </c>
    </row>
    <row r="3" spans="1:20" x14ac:dyDescent="0.3">
      <c r="A3" s="24" t="s">
        <v>109</v>
      </c>
      <c r="B3" s="24" t="s">
        <v>45</v>
      </c>
      <c r="C3" s="24" t="s">
        <v>57</v>
      </c>
      <c r="D3" s="25">
        <v>8.4</v>
      </c>
      <c r="E3" s="24">
        <v>79</v>
      </c>
      <c r="F3" s="24" t="s">
        <v>64</v>
      </c>
      <c r="G3" s="24" t="s">
        <v>67</v>
      </c>
      <c r="H3" s="24" t="s">
        <v>68</v>
      </c>
      <c r="I3" s="24">
        <v>60</v>
      </c>
      <c r="J3" s="24">
        <v>66</v>
      </c>
      <c r="K3" s="24">
        <v>67</v>
      </c>
      <c r="L3" s="24">
        <v>62</v>
      </c>
      <c r="M3" s="24">
        <v>67</v>
      </c>
      <c r="N3" s="26">
        <f t="shared" si="0"/>
        <v>64.400000000000006</v>
      </c>
      <c r="O3" s="11" t="str">
        <f>LOOKUP(N3,Settings!$A$10:$A$14,Settings!$B$10:$B$14)</f>
        <v>C</v>
      </c>
      <c r="P3" s="11" t="str">
        <f>IF(N3&gt;=Settings!$B$3,"Pass","Fail")</f>
        <v>Pass</v>
      </c>
      <c r="Q3" s="11" t="str">
        <f>LOOKUP(D3,Settings!$A$19:$A$23,Settings!$B$19:$B$23)</f>
        <v>5 to 9 hrs</v>
      </c>
      <c r="R3" s="11" t="str">
        <f>LOOKUP(E3,Settings!$A$28:$A$31,Settings!$B$28:$B$31)</f>
        <v>75 to 84%</v>
      </c>
      <c r="S3" s="11" t="str">
        <f>IF(OR(N3&lt;Settings!$B$4,E3&lt;Settings!$B$5),"Yes","No")</f>
        <v>No</v>
      </c>
      <c r="T3" s="11">
        <f>RANK(N3,$N$2:$N$301,0)+COUNTIF($N$2:N3,N3)-1</f>
        <v>122</v>
      </c>
    </row>
    <row r="4" spans="1:20" x14ac:dyDescent="0.3">
      <c r="A4" s="24" t="s">
        <v>110</v>
      </c>
      <c r="B4" s="24" t="s">
        <v>46</v>
      </c>
      <c r="C4" s="24" t="s">
        <v>58</v>
      </c>
      <c r="D4" s="25">
        <v>7.7</v>
      </c>
      <c r="E4" s="24">
        <v>80</v>
      </c>
      <c r="F4" s="24" t="s">
        <v>64</v>
      </c>
      <c r="G4" s="24" t="s">
        <v>67</v>
      </c>
      <c r="H4" s="24" t="s">
        <v>68</v>
      </c>
      <c r="I4" s="24">
        <v>59</v>
      </c>
      <c r="J4" s="24">
        <v>56</v>
      </c>
      <c r="K4" s="24">
        <v>61</v>
      </c>
      <c r="L4" s="24">
        <v>62</v>
      </c>
      <c r="M4" s="24">
        <v>53</v>
      </c>
      <c r="N4" s="26">
        <f t="shared" si="0"/>
        <v>58.2</v>
      </c>
      <c r="O4" s="11" t="str">
        <f>LOOKUP(N4,Settings!$A$10:$A$14,Settings!$B$10:$B$14)</f>
        <v>D</v>
      </c>
      <c r="P4" s="11" t="str">
        <f>IF(N4&gt;=Settings!$B$3,"Pass","Fail")</f>
        <v>Pass</v>
      </c>
      <c r="Q4" s="11" t="str">
        <f>LOOKUP(D4,Settings!$A$19:$A$23,Settings!$B$19:$B$23)</f>
        <v>5 to 9 hrs</v>
      </c>
      <c r="R4" s="11" t="str">
        <f>LOOKUP(E4,Settings!$A$28:$A$31,Settings!$B$28:$B$31)</f>
        <v>75 to 84%</v>
      </c>
      <c r="S4" s="11" t="str">
        <f>IF(OR(N4&lt;Settings!$B$4,E4&lt;Settings!$B$5),"Yes","No")</f>
        <v>No</v>
      </c>
      <c r="T4" s="11">
        <f>RANK(N4,$N$2:$N$301,0)+COUNTIF($N$2:N4,N4)-1</f>
        <v>194</v>
      </c>
    </row>
    <row r="5" spans="1:20" x14ac:dyDescent="0.3">
      <c r="A5" s="24" t="s">
        <v>111</v>
      </c>
      <c r="B5" s="24" t="s">
        <v>46</v>
      </c>
      <c r="C5" s="24" t="s">
        <v>58</v>
      </c>
      <c r="D5" s="25">
        <v>14.3</v>
      </c>
      <c r="E5" s="24">
        <v>78</v>
      </c>
      <c r="F5" s="24" t="s">
        <v>63</v>
      </c>
      <c r="G5" s="24" t="s">
        <v>67</v>
      </c>
      <c r="H5" s="24" t="s">
        <v>68</v>
      </c>
      <c r="I5" s="24">
        <v>70</v>
      </c>
      <c r="J5" s="24">
        <v>55</v>
      </c>
      <c r="K5" s="24">
        <v>61</v>
      </c>
      <c r="L5" s="24">
        <v>75</v>
      </c>
      <c r="M5" s="24">
        <v>65</v>
      </c>
      <c r="N5" s="26">
        <f t="shared" si="0"/>
        <v>65.2</v>
      </c>
      <c r="O5" s="11" t="str">
        <f>LOOKUP(N5,Settings!$A$10:$A$14,Settings!$B$10:$B$14)</f>
        <v>C</v>
      </c>
      <c r="P5" s="11" t="str">
        <f>IF(N5&gt;=Settings!$B$3,"Pass","Fail")</f>
        <v>Pass</v>
      </c>
      <c r="Q5" s="11" t="str">
        <f>LOOKUP(D5,Settings!$A$19:$A$23,Settings!$B$19:$B$23)</f>
        <v>10 to 14 hrs</v>
      </c>
      <c r="R5" s="11" t="str">
        <f>LOOKUP(E5,Settings!$A$28:$A$31,Settings!$B$28:$B$31)</f>
        <v>75 to 84%</v>
      </c>
      <c r="S5" s="11" t="str">
        <f>IF(OR(N5&lt;Settings!$B$4,E5&lt;Settings!$B$5),"Yes","No")</f>
        <v>No</v>
      </c>
      <c r="T5" s="11">
        <f>RANK(N5,$N$2:$N$301,0)+COUNTIF($N$2:N5,N5)-1</f>
        <v>110</v>
      </c>
    </row>
    <row r="6" spans="1:20" x14ac:dyDescent="0.3">
      <c r="A6" s="24" t="s">
        <v>112</v>
      </c>
      <c r="B6" s="24" t="s">
        <v>45</v>
      </c>
      <c r="C6" s="24" t="s">
        <v>59</v>
      </c>
      <c r="D6" s="25">
        <v>16.899999999999999</v>
      </c>
      <c r="E6" s="24">
        <v>79</v>
      </c>
      <c r="F6" s="24" t="s">
        <v>64</v>
      </c>
      <c r="G6" s="24" t="s">
        <v>68</v>
      </c>
      <c r="H6" s="24" t="s">
        <v>67</v>
      </c>
      <c r="I6" s="24">
        <v>80</v>
      </c>
      <c r="J6" s="24">
        <v>66</v>
      </c>
      <c r="K6" s="24">
        <v>66</v>
      </c>
      <c r="L6" s="24">
        <v>65</v>
      </c>
      <c r="M6" s="24">
        <v>73</v>
      </c>
      <c r="N6" s="26">
        <f t="shared" si="0"/>
        <v>70</v>
      </c>
      <c r="O6" s="11" t="str">
        <f>LOOKUP(N6,Settings!$A$10:$A$14,Settings!$B$10:$B$14)</f>
        <v>B</v>
      </c>
      <c r="P6" s="11" t="str">
        <f>IF(N6&gt;=Settings!$B$3,"Pass","Fail")</f>
        <v>Pass</v>
      </c>
      <c r="Q6" s="11" t="str">
        <f>LOOKUP(D6,Settings!$A$19:$A$23,Settings!$B$19:$B$23)</f>
        <v>15 to 19 hrs</v>
      </c>
      <c r="R6" s="11" t="str">
        <f>LOOKUP(E6,Settings!$A$28:$A$31,Settings!$B$28:$B$31)</f>
        <v>75 to 84%</v>
      </c>
      <c r="S6" s="11" t="str">
        <f>IF(OR(N6&lt;Settings!$B$4,E6&lt;Settings!$B$5),"Yes","No")</f>
        <v>No</v>
      </c>
      <c r="T6" s="11">
        <f>RANK(N6,$N$2:$N$301,0)+COUNTIF($N$2:N6,N6)-1</f>
        <v>60</v>
      </c>
    </row>
    <row r="7" spans="1:20" x14ac:dyDescent="0.3">
      <c r="A7" s="24" t="s">
        <v>113</v>
      </c>
      <c r="B7" s="24" t="s">
        <v>46</v>
      </c>
      <c r="C7" s="24" t="s">
        <v>58</v>
      </c>
      <c r="D7" s="25">
        <v>12.2</v>
      </c>
      <c r="E7" s="24">
        <v>85</v>
      </c>
      <c r="F7" s="24" t="s">
        <v>64</v>
      </c>
      <c r="G7" s="24" t="s">
        <v>67</v>
      </c>
      <c r="H7" s="24" t="s">
        <v>67</v>
      </c>
      <c r="I7" s="24">
        <v>77</v>
      </c>
      <c r="J7" s="24">
        <v>65</v>
      </c>
      <c r="K7" s="24">
        <v>56</v>
      </c>
      <c r="L7" s="24">
        <v>69</v>
      </c>
      <c r="M7" s="24">
        <v>77</v>
      </c>
      <c r="N7" s="26">
        <f t="shared" si="0"/>
        <v>68.8</v>
      </c>
      <c r="O7" s="11" t="str">
        <f>LOOKUP(N7,Settings!$A$10:$A$14,Settings!$B$10:$B$14)</f>
        <v>C</v>
      </c>
      <c r="P7" s="11" t="str">
        <f>IF(N7&gt;=Settings!$B$3,"Pass","Fail")</f>
        <v>Pass</v>
      </c>
      <c r="Q7" s="11" t="str">
        <f>LOOKUP(D7,Settings!$A$19:$A$23,Settings!$B$19:$B$23)</f>
        <v>10 to 14 hrs</v>
      </c>
      <c r="R7" s="11" t="str">
        <f>LOOKUP(E7,Settings!$A$28:$A$31,Settings!$B$28:$B$31)</f>
        <v>85 to 94%</v>
      </c>
      <c r="S7" s="11" t="str">
        <f>IF(OR(N7&lt;Settings!$B$4,E7&lt;Settings!$B$5),"Yes","No")</f>
        <v>No</v>
      </c>
      <c r="T7" s="11">
        <f>RANK(N7,$N$2:$N$301,0)+COUNTIF($N$2:N7,N7)-1</f>
        <v>66</v>
      </c>
    </row>
    <row r="8" spans="1:20" x14ac:dyDescent="0.3">
      <c r="A8" s="24" t="s">
        <v>114</v>
      </c>
      <c r="B8" s="24" t="s">
        <v>46</v>
      </c>
      <c r="C8" s="24" t="s">
        <v>58</v>
      </c>
      <c r="D8" s="25">
        <v>5.6</v>
      </c>
      <c r="E8" s="24">
        <v>74</v>
      </c>
      <c r="F8" s="24" t="s">
        <v>64</v>
      </c>
      <c r="G8" s="24" t="s">
        <v>67</v>
      </c>
      <c r="H8" s="24" t="s">
        <v>68</v>
      </c>
      <c r="I8" s="24">
        <v>67</v>
      </c>
      <c r="J8" s="24">
        <v>54</v>
      </c>
      <c r="K8" s="24">
        <v>67</v>
      </c>
      <c r="L8" s="24">
        <v>42</v>
      </c>
      <c r="M8" s="24">
        <v>64</v>
      </c>
      <c r="N8" s="26">
        <f t="shared" si="0"/>
        <v>58.8</v>
      </c>
      <c r="O8" s="11" t="str">
        <f>LOOKUP(N8,Settings!$A$10:$A$14,Settings!$B$10:$B$14)</f>
        <v>D</v>
      </c>
      <c r="P8" s="11" t="str">
        <f>IF(N8&gt;=Settings!$B$3,"Pass","Fail")</f>
        <v>Pass</v>
      </c>
      <c r="Q8" s="11" t="str">
        <f>LOOKUP(D8,Settings!$A$19:$A$23,Settings!$B$19:$B$23)</f>
        <v>5 to 9 hrs</v>
      </c>
      <c r="R8" s="11" t="str">
        <f>LOOKUP(E8,Settings!$A$28:$A$31,Settings!$B$28:$B$31)</f>
        <v>Below 75%</v>
      </c>
      <c r="S8" s="11" t="str">
        <f>IF(OR(N8&lt;Settings!$B$4,E8&lt;Settings!$B$5),"Yes","No")</f>
        <v>Yes</v>
      </c>
      <c r="T8" s="11">
        <f>RANK(N8,$N$2:$N$301,0)+COUNTIF($N$2:N8,N8)-1</f>
        <v>188</v>
      </c>
    </row>
    <row r="9" spans="1:20" x14ac:dyDescent="0.3">
      <c r="A9" s="24" t="s">
        <v>115</v>
      </c>
      <c r="B9" s="24" t="s">
        <v>46</v>
      </c>
      <c r="C9" s="24" t="s">
        <v>58</v>
      </c>
      <c r="D9" s="25">
        <v>5.2</v>
      </c>
      <c r="E9" s="24">
        <v>91</v>
      </c>
      <c r="F9" s="24" t="s">
        <v>62</v>
      </c>
      <c r="G9" s="24" t="s">
        <v>67</v>
      </c>
      <c r="H9" s="24" t="s">
        <v>68</v>
      </c>
      <c r="I9" s="24">
        <v>53</v>
      </c>
      <c r="J9" s="24">
        <v>50</v>
      </c>
      <c r="K9" s="24">
        <v>49</v>
      </c>
      <c r="L9" s="24">
        <v>53</v>
      </c>
      <c r="M9" s="24">
        <v>48</v>
      </c>
      <c r="N9" s="26">
        <f t="shared" si="0"/>
        <v>50.6</v>
      </c>
      <c r="O9" s="11" t="str">
        <f>LOOKUP(N9,Settings!$A$10:$A$14,Settings!$B$10:$B$14)</f>
        <v>D</v>
      </c>
      <c r="P9" s="11" t="str">
        <f>IF(N9&gt;=Settings!$B$3,"Pass","Fail")</f>
        <v>Pass</v>
      </c>
      <c r="Q9" s="11" t="str">
        <f>LOOKUP(D9,Settings!$A$19:$A$23,Settings!$B$19:$B$23)</f>
        <v>5 to 9 hrs</v>
      </c>
      <c r="R9" s="11" t="str">
        <f>LOOKUP(E9,Settings!$A$28:$A$31,Settings!$B$28:$B$31)</f>
        <v>85 to 94%</v>
      </c>
      <c r="S9" s="11" t="str">
        <f>IF(OR(N9&lt;Settings!$B$4,E9&lt;Settings!$B$5),"Yes","No")</f>
        <v>Yes</v>
      </c>
      <c r="T9" s="11">
        <f>RANK(N9,$N$2:$N$301,0)+COUNTIF($N$2:N9,N9)-1</f>
        <v>260</v>
      </c>
    </row>
    <row r="10" spans="1:20" x14ac:dyDescent="0.3">
      <c r="A10" s="24" t="s">
        <v>116</v>
      </c>
      <c r="B10" s="24" t="s">
        <v>45</v>
      </c>
      <c r="C10" s="24" t="s">
        <v>57</v>
      </c>
      <c r="D10" s="25">
        <v>4.9000000000000004</v>
      </c>
      <c r="E10" s="24">
        <v>77</v>
      </c>
      <c r="F10" s="24" t="s">
        <v>63</v>
      </c>
      <c r="G10" s="24" t="s">
        <v>67</v>
      </c>
      <c r="H10" s="24" t="s">
        <v>67</v>
      </c>
      <c r="I10" s="24">
        <v>48</v>
      </c>
      <c r="J10" s="24">
        <v>57</v>
      </c>
      <c r="K10" s="24">
        <v>66</v>
      </c>
      <c r="L10" s="24">
        <v>54</v>
      </c>
      <c r="M10" s="24">
        <v>57</v>
      </c>
      <c r="N10" s="26">
        <f t="shared" si="0"/>
        <v>56.4</v>
      </c>
      <c r="O10" s="11" t="str">
        <f>LOOKUP(N10,Settings!$A$10:$A$14,Settings!$B$10:$B$14)</f>
        <v>D</v>
      </c>
      <c r="P10" s="11" t="str">
        <f>IF(N10&gt;=Settings!$B$3,"Pass","Fail")</f>
        <v>Pass</v>
      </c>
      <c r="Q10" s="11" t="str">
        <f>LOOKUP(D10,Settings!$A$19:$A$23,Settings!$B$19:$B$23)</f>
        <v>0 to 4 hrs</v>
      </c>
      <c r="R10" s="11" t="str">
        <f>LOOKUP(E10,Settings!$A$28:$A$31,Settings!$B$28:$B$31)</f>
        <v>75 to 84%</v>
      </c>
      <c r="S10" s="11" t="str">
        <f>IF(OR(N10&lt;Settings!$B$4,E10&lt;Settings!$B$5),"Yes","No")</f>
        <v>No</v>
      </c>
      <c r="T10" s="11">
        <f>RANK(N10,$N$2:$N$301,0)+COUNTIF($N$2:N10,N10)-1</f>
        <v>209</v>
      </c>
    </row>
    <row r="11" spans="1:20" x14ac:dyDescent="0.3">
      <c r="A11" s="24" t="s">
        <v>117</v>
      </c>
      <c r="B11" s="24" t="s">
        <v>45</v>
      </c>
      <c r="C11" s="24" t="s">
        <v>57</v>
      </c>
      <c r="D11" s="25">
        <v>3.2</v>
      </c>
      <c r="E11" s="24">
        <v>100</v>
      </c>
      <c r="F11" s="24" t="s">
        <v>63</v>
      </c>
      <c r="G11" s="24" t="s">
        <v>67</v>
      </c>
      <c r="H11" s="24" t="s">
        <v>67</v>
      </c>
      <c r="I11" s="24">
        <v>59</v>
      </c>
      <c r="J11" s="24">
        <v>54</v>
      </c>
      <c r="K11" s="24">
        <v>55</v>
      </c>
      <c r="L11" s="24">
        <v>52</v>
      </c>
      <c r="M11" s="24">
        <v>60</v>
      </c>
      <c r="N11" s="26">
        <f t="shared" si="0"/>
        <v>56</v>
      </c>
      <c r="O11" s="11" t="str">
        <f>LOOKUP(N11,Settings!$A$10:$A$14,Settings!$B$10:$B$14)</f>
        <v>D</v>
      </c>
      <c r="P11" s="11" t="str">
        <f>IF(N11&gt;=Settings!$B$3,"Pass","Fail")</f>
        <v>Pass</v>
      </c>
      <c r="Q11" s="11" t="str">
        <f>LOOKUP(D11,Settings!$A$19:$A$23,Settings!$B$19:$B$23)</f>
        <v>0 to 4 hrs</v>
      </c>
      <c r="R11" s="11" t="str">
        <f>LOOKUP(E11,Settings!$A$28:$A$31,Settings!$B$28:$B$31)</f>
        <v>95 to 100%</v>
      </c>
      <c r="S11" s="11" t="str">
        <f>IF(OR(N11&lt;Settings!$B$4,E11&lt;Settings!$B$5),"Yes","No")</f>
        <v>No</v>
      </c>
      <c r="T11" s="11">
        <f>RANK(N11,$N$2:$N$301,0)+COUNTIF($N$2:N11,N11)-1</f>
        <v>216</v>
      </c>
    </row>
    <row r="12" spans="1:20" x14ac:dyDescent="0.3">
      <c r="A12" s="24" t="s">
        <v>118</v>
      </c>
      <c r="B12" s="24" t="s">
        <v>45</v>
      </c>
      <c r="C12" s="24" t="s">
        <v>58</v>
      </c>
      <c r="D12" s="25">
        <v>12.5</v>
      </c>
      <c r="E12" s="24">
        <v>83</v>
      </c>
      <c r="F12" s="24" t="s">
        <v>63</v>
      </c>
      <c r="G12" s="24" t="s">
        <v>68</v>
      </c>
      <c r="H12" s="24" t="s">
        <v>68</v>
      </c>
      <c r="I12" s="24">
        <v>50</v>
      </c>
      <c r="J12" s="24">
        <v>64</v>
      </c>
      <c r="K12" s="24">
        <v>63</v>
      </c>
      <c r="L12" s="24">
        <v>66</v>
      </c>
      <c r="M12" s="24">
        <v>60</v>
      </c>
      <c r="N12" s="26">
        <f t="shared" si="0"/>
        <v>60.6</v>
      </c>
      <c r="O12" s="11" t="str">
        <f>LOOKUP(N12,Settings!$A$10:$A$14,Settings!$B$10:$B$14)</f>
        <v>C</v>
      </c>
      <c r="P12" s="11" t="str">
        <f>IF(N12&gt;=Settings!$B$3,"Pass","Fail")</f>
        <v>Pass</v>
      </c>
      <c r="Q12" s="11" t="str">
        <f>LOOKUP(D12,Settings!$A$19:$A$23,Settings!$B$19:$B$23)</f>
        <v>10 to 14 hrs</v>
      </c>
      <c r="R12" s="11" t="str">
        <f>LOOKUP(E12,Settings!$A$28:$A$31,Settings!$B$28:$B$31)</f>
        <v>75 to 84%</v>
      </c>
      <c r="S12" s="11" t="str">
        <f>IF(OR(N12&lt;Settings!$B$4,E12&lt;Settings!$B$5),"Yes","No")</f>
        <v>No</v>
      </c>
      <c r="T12" s="11">
        <f>RANK(N12,$N$2:$N$301,0)+COUNTIF($N$2:N12,N12)-1</f>
        <v>168</v>
      </c>
    </row>
    <row r="13" spans="1:20" x14ac:dyDescent="0.3">
      <c r="A13" s="24" t="s">
        <v>119</v>
      </c>
      <c r="B13" s="24" t="s">
        <v>46</v>
      </c>
      <c r="C13" s="24" t="s">
        <v>58</v>
      </c>
      <c r="D13" s="25">
        <v>17.600000000000001</v>
      </c>
      <c r="E13" s="24">
        <v>88</v>
      </c>
      <c r="F13" s="24" t="s">
        <v>63</v>
      </c>
      <c r="G13" s="24" t="s">
        <v>68</v>
      </c>
      <c r="H13" s="24" t="s">
        <v>68</v>
      </c>
      <c r="I13" s="24">
        <v>61</v>
      </c>
      <c r="J13" s="24">
        <v>68</v>
      </c>
      <c r="K13" s="24">
        <v>60</v>
      </c>
      <c r="L13" s="24">
        <v>59</v>
      </c>
      <c r="M13" s="24">
        <v>66</v>
      </c>
      <c r="N13" s="26">
        <f t="shared" si="0"/>
        <v>62.8</v>
      </c>
      <c r="O13" s="11" t="str">
        <f>LOOKUP(N13,Settings!$A$10:$A$14,Settings!$B$10:$B$14)</f>
        <v>C</v>
      </c>
      <c r="P13" s="11" t="str">
        <f>IF(N13&gt;=Settings!$B$3,"Pass","Fail")</f>
        <v>Pass</v>
      </c>
      <c r="Q13" s="11" t="str">
        <f>LOOKUP(D13,Settings!$A$19:$A$23,Settings!$B$19:$B$23)</f>
        <v>15 to 19 hrs</v>
      </c>
      <c r="R13" s="11" t="str">
        <f>LOOKUP(E13,Settings!$A$28:$A$31,Settings!$B$28:$B$31)</f>
        <v>85 to 94%</v>
      </c>
      <c r="S13" s="11" t="str">
        <f>IF(OR(N13&lt;Settings!$B$4,E13&lt;Settings!$B$5),"Yes","No")</f>
        <v>No</v>
      </c>
      <c r="T13" s="11">
        <f>RANK(N13,$N$2:$N$301,0)+COUNTIF($N$2:N13,N13)-1</f>
        <v>139</v>
      </c>
    </row>
    <row r="14" spans="1:20" x14ac:dyDescent="0.3">
      <c r="A14" s="24" t="s">
        <v>120</v>
      </c>
      <c r="B14" s="24" t="s">
        <v>46</v>
      </c>
      <c r="C14" s="24" t="s">
        <v>57</v>
      </c>
      <c r="D14" s="25">
        <v>11.9</v>
      </c>
      <c r="E14" s="24">
        <v>76</v>
      </c>
      <c r="F14" s="24" t="s">
        <v>64</v>
      </c>
      <c r="G14" s="24" t="s">
        <v>68</v>
      </c>
      <c r="H14" s="24" t="s">
        <v>68</v>
      </c>
      <c r="I14" s="24">
        <v>51</v>
      </c>
      <c r="J14" s="24">
        <v>45</v>
      </c>
      <c r="K14" s="24">
        <v>49</v>
      </c>
      <c r="L14" s="24">
        <v>49</v>
      </c>
      <c r="M14" s="24">
        <v>52</v>
      </c>
      <c r="N14" s="26">
        <f t="shared" si="0"/>
        <v>49.2</v>
      </c>
      <c r="O14" s="11" t="str">
        <f>LOOKUP(N14,Settings!$A$10:$A$14,Settings!$B$10:$B$14)</f>
        <v>F</v>
      </c>
      <c r="P14" s="11" t="str">
        <f>IF(N14&gt;=Settings!$B$3,"Pass","Fail")</f>
        <v>Fail</v>
      </c>
      <c r="Q14" s="11" t="str">
        <f>LOOKUP(D14,Settings!$A$19:$A$23,Settings!$B$19:$B$23)</f>
        <v>10 to 14 hrs</v>
      </c>
      <c r="R14" s="11" t="str">
        <f>LOOKUP(E14,Settings!$A$28:$A$31,Settings!$B$28:$B$31)</f>
        <v>75 to 84%</v>
      </c>
      <c r="S14" s="11" t="str">
        <f>IF(OR(N14&lt;Settings!$B$4,E14&lt;Settings!$B$5),"Yes","No")</f>
        <v>Yes</v>
      </c>
      <c r="T14" s="11">
        <f>RANK(N14,$N$2:$N$301,0)+COUNTIF($N$2:N14,N14)-1</f>
        <v>272</v>
      </c>
    </row>
    <row r="15" spans="1:20" x14ac:dyDescent="0.3">
      <c r="A15" s="24" t="s">
        <v>121</v>
      </c>
      <c r="B15" s="24" t="s">
        <v>46</v>
      </c>
      <c r="C15" s="24" t="s">
        <v>58</v>
      </c>
      <c r="D15" s="25">
        <v>1</v>
      </c>
      <c r="E15" s="24">
        <v>96</v>
      </c>
      <c r="F15" s="24" t="s">
        <v>64</v>
      </c>
      <c r="G15" s="24" t="s">
        <v>68</v>
      </c>
      <c r="H15" s="24" t="s">
        <v>67</v>
      </c>
      <c r="I15" s="24">
        <v>63</v>
      </c>
      <c r="J15" s="24">
        <v>53</v>
      </c>
      <c r="K15" s="24">
        <v>48</v>
      </c>
      <c r="L15" s="24">
        <v>49</v>
      </c>
      <c r="M15" s="24">
        <v>51</v>
      </c>
      <c r="N15" s="26">
        <f t="shared" si="0"/>
        <v>52.8</v>
      </c>
      <c r="O15" s="11" t="str">
        <f>LOOKUP(N15,Settings!$A$10:$A$14,Settings!$B$10:$B$14)</f>
        <v>D</v>
      </c>
      <c r="P15" s="11" t="str">
        <f>IF(N15&gt;=Settings!$B$3,"Pass","Fail")</f>
        <v>Pass</v>
      </c>
      <c r="Q15" s="11" t="str">
        <f>LOOKUP(D15,Settings!$A$19:$A$23,Settings!$B$19:$B$23)</f>
        <v>0 to 4 hrs</v>
      </c>
      <c r="R15" s="11" t="str">
        <f>LOOKUP(E15,Settings!$A$28:$A$31,Settings!$B$28:$B$31)</f>
        <v>95 to 100%</v>
      </c>
      <c r="S15" s="11" t="str">
        <f>IF(OR(N15&lt;Settings!$B$4,E15&lt;Settings!$B$5),"Yes","No")</f>
        <v>Yes</v>
      </c>
      <c r="T15" s="11">
        <f>RANK(N15,$N$2:$N$301,0)+COUNTIF($N$2:N15,N15)-1</f>
        <v>244</v>
      </c>
    </row>
    <row r="16" spans="1:20" x14ac:dyDescent="0.3">
      <c r="A16" s="24" t="s">
        <v>122</v>
      </c>
      <c r="B16" s="24" t="s">
        <v>45</v>
      </c>
      <c r="C16" s="24" t="s">
        <v>58</v>
      </c>
      <c r="D16" s="25">
        <v>11</v>
      </c>
      <c r="E16" s="24">
        <v>95</v>
      </c>
      <c r="F16" s="24" t="s">
        <v>62</v>
      </c>
      <c r="G16" s="24" t="s">
        <v>68</v>
      </c>
      <c r="H16" s="24" t="s">
        <v>67</v>
      </c>
      <c r="I16" s="24">
        <v>57</v>
      </c>
      <c r="J16" s="24">
        <v>62</v>
      </c>
      <c r="K16" s="24">
        <v>61</v>
      </c>
      <c r="L16" s="24">
        <v>50</v>
      </c>
      <c r="M16" s="24">
        <v>55</v>
      </c>
      <c r="N16" s="26">
        <f t="shared" si="0"/>
        <v>57</v>
      </c>
      <c r="O16" s="11" t="str">
        <f>LOOKUP(N16,Settings!$A$10:$A$14,Settings!$B$10:$B$14)</f>
        <v>D</v>
      </c>
      <c r="P16" s="11" t="str">
        <f>IF(N16&gt;=Settings!$B$3,"Pass","Fail")</f>
        <v>Pass</v>
      </c>
      <c r="Q16" s="11" t="str">
        <f>LOOKUP(D16,Settings!$A$19:$A$23,Settings!$B$19:$B$23)</f>
        <v>10 to 14 hrs</v>
      </c>
      <c r="R16" s="11" t="str">
        <f>LOOKUP(E16,Settings!$A$28:$A$31,Settings!$B$28:$B$31)</f>
        <v>95 to 100%</v>
      </c>
      <c r="S16" s="11" t="str">
        <f>IF(OR(N16&lt;Settings!$B$4,E16&lt;Settings!$B$5),"Yes","No")</f>
        <v>No</v>
      </c>
      <c r="T16" s="11">
        <f>RANK(N16,$N$2:$N$301,0)+COUNTIF($N$2:N16,N16)-1</f>
        <v>203</v>
      </c>
    </row>
    <row r="17" spans="1:20" x14ac:dyDescent="0.3">
      <c r="A17" s="24" t="s">
        <v>123</v>
      </c>
      <c r="B17" s="24" t="s">
        <v>45</v>
      </c>
      <c r="C17" s="24" t="s">
        <v>57</v>
      </c>
      <c r="D17" s="25">
        <v>11.2</v>
      </c>
      <c r="E17" s="24">
        <v>88</v>
      </c>
      <c r="F17" s="24" t="s">
        <v>63</v>
      </c>
      <c r="G17" s="24" t="s">
        <v>68</v>
      </c>
      <c r="H17" s="24" t="s">
        <v>68</v>
      </c>
      <c r="I17" s="24">
        <v>37</v>
      </c>
      <c r="J17" s="24">
        <v>57</v>
      </c>
      <c r="K17" s="24">
        <v>54</v>
      </c>
      <c r="L17" s="24">
        <v>47</v>
      </c>
      <c r="M17" s="24">
        <v>40</v>
      </c>
      <c r="N17" s="26">
        <f t="shared" si="0"/>
        <v>47</v>
      </c>
      <c r="O17" s="11" t="str">
        <f>LOOKUP(N17,Settings!$A$10:$A$14,Settings!$B$10:$B$14)</f>
        <v>F</v>
      </c>
      <c r="P17" s="11" t="str">
        <f>IF(N17&gt;=Settings!$B$3,"Pass","Fail")</f>
        <v>Fail</v>
      </c>
      <c r="Q17" s="11" t="str">
        <f>LOOKUP(D17,Settings!$A$19:$A$23,Settings!$B$19:$B$23)</f>
        <v>10 to 14 hrs</v>
      </c>
      <c r="R17" s="11" t="str">
        <f>LOOKUP(E17,Settings!$A$28:$A$31,Settings!$B$28:$B$31)</f>
        <v>85 to 94%</v>
      </c>
      <c r="S17" s="11" t="str">
        <f>IF(OR(N17&lt;Settings!$B$4,E17&lt;Settings!$B$5),"Yes","No")</f>
        <v>Yes</v>
      </c>
      <c r="T17" s="11">
        <f>RANK(N17,$N$2:$N$301,0)+COUNTIF($N$2:N17,N17)-1</f>
        <v>280</v>
      </c>
    </row>
    <row r="18" spans="1:20" x14ac:dyDescent="0.3">
      <c r="A18" s="24" t="s">
        <v>124</v>
      </c>
      <c r="B18" s="24" t="s">
        <v>46</v>
      </c>
      <c r="C18" s="24" t="s">
        <v>58</v>
      </c>
      <c r="D18" s="25">
        <v>22.5</v>
      </c>
      <c r="E18" s="24">
        <v>78</v>
      </c>
      <c r="F18" s="24" t="s">
        <v>63</v>
      </c>
      <c r="G18" s="24" t="s">
        <v>67</v>
      </c>
      <c r="H18" s="24" t="s">
        <v>67</v>
      </c>
      <c r="I18" s="24">
        <v>80</v>
      </c>
      <c r="J18" s="24">
        <v>82</v>
      </c>
      <c r="K18" s="24">
        <v>70</v>
      </c>
      <c r="L18" s="24">
        <v>81</v>
      </c>
      <c r="M18" s="24">
        <v>78</v>
      </c>
      <c r="N18" s="26">
        <f t="shared" si="0"/>
        <v>78.2</v>
      </c>
      <c r="O18" s="11" t="str">
        <f>LOOKUP(N18,Settings!$A$10:$A$14,Settings!$B$10:$B$14)</f>
        <v>B</v>
      </c>
      <c r="P18" s="11" t="str">
        <f>IF(N18&gt;=Settings!$B$3,"Pass","Fail")</f>
        <v>Pass</v>
      </c>
      <c r="Q18" s="11" t="str">
        <f>LOOKUP(D18,Settings!$A$19:$A$23,Settings!$B$19:$B$23)</f>
        <v>20+ hrs</v>
      </c>
      <c r="R18" s="11" t="str">
        <f>LOOKUP(E18,Settings!$A$28:$A$31,Settings!$B$28:$B$31)</f>
        <v>75 to 84%</v>
      </c>
      <c r="S18" s="11" t="str">
        <f>IF(OR(N18&lt;Settings!$B$4,E18&lt;Settings!$B$5),"Yes","No")</f>
        <v>No</v>
      </c>
      <c r="T18" s="11">
        <f>RANK(N18,$N$2:$N$301,0)+COUNTIF($N$2:N18,N18)-1</f>
        <v>11</v>
      </c>
    </row>
    <row r="19" spans="1:20" x14ac:dyDescent="0.3">
      <c r="A19" s="24" t="s">
        <v>125</v>
      </c>
      <c r="B19" s="24" t="s">
        <v>45</v>
      </c>
      <c r="C19" s="24" t="s">
        <v>58</v>
      </c>
      <c r="D19" s="25">
        <v>4.7</v>
      </c>
      <c r="E19" s="24">
        <v>85</v>
      </c>
      <c r="F19" s="24" t="s">
        <v>63</v>
      </c>
      <c r="G19" s="24" t="s">
        <v>67</v>
      </c>
      <c r="H19" s="24" t="s">
        <v>68</v>
      </c>
      <c r="I19" s="24">
        <v>48</v>
      </c>
      <c r="J19" s="24">
        <v>59</v>
      </c>
      <c r="K19" s="24">
        <v>52</v>
      </c>
      <c r="L19" s="24">
        <v>42</v>
      </c>
      <c r="M19" s="24">
        <v>54</v>
      </c>
      <c r="N19" s="26">
        <f t="shared" si="0"/>
        <v>51</v>
      </c>
      <c r="O19" s="11" t="str">
        <f>LOOKUP(N19,Settings!$A$10:$A$14,Settings!$B$10:$B$14)</f>
        <v>D</v>
      </c>
      <c r="P19" s="11" t="str">
        <f>IF(N19&gt;=Settings!$B$3,"Pass","Fail")</f>
        <v>Pass</v>
      </c>
      <c r="Q19" s="11" t="str">
        <f>LOOKUP(D19,Settings!$A$19:$A$23,Settings!$B$19:$B$23)</f>
        <v>0 to 4 hrs</v>
      </c>
      <c r="R19" s="11" t="str">
        <f>LOOKUP(E19,Settings!$A$28:$A$31,Settings!$B$28:$B$31)</f>
        <v>85 to 94%</v>
      </c>
      <c r="S19" s="11" t="str">
        <f>IF(OR(N19&lt;Settings!$B$4,E19&lt;Settings!$B$5),"Yes","No")</f>
        <v>Yes</v>
      </c>
      <c r="T19" s="11">
        <f>RANK(N19,$N$2:$N$301,0)+COUNTIF($N$2:N19,N19)-1</f>
        <v>257</v>
      </c>
    </row>
    <row r="20" spans="1:20" x14ac:dyDescent="0.3">
      <c r="A20" s="24" t="s">
        <v>126</v>
      </c>
      <c r="B20" s="24" t="s">
        <v>46</v>
      </c>
      <c r="C20" s="24" t="s">
        <v>57</v>
      </c>
      <c r="D20" s="25">
        <v>10</v>
      </c>
      <c r="E20" s="24">
        <v>76</v>
      </c>
      <c r="F20" s="24" t="s">
        <v>62</v>
      </c>
      <c r="G20" s="24" t="s">
        <v>67</v>
      </c>
      <c r="H20" s="24" t="s">
        <v>68</v>
      </c>
      <c r="I20" s="24">
        <v>46</v>
      </c>
      <c r="J20" s="24">
        <v>32</v>
      </c>
      <c r="K20" s="24">
        <v>40</v>
      </c>
      <c r="L20" s="24">
        <v>40</v>
      </c>
      <c r="M20" s="24">
        <v>49</v>
      </c>
      <c r="N20" s="26">
        <f t="shared" si="0"/>
        <v>41.4</v>
      </c>
      <c r="O20" s="11" t="str">
        <f>LOOKUP(N20,Settings!$A$10:$A$14,Settings!$B$10:$B$14)</f>
        <v>F</v>
      </c>
      <c r="P20" s="11" t="str">
        <f>IF(N20&gt;=Settings!$B$3,"Pass","Fail")</f>
        <v>Fail</v>
      </c>
      <c r="Q20" s="11" t="str">
        <f>LOOKUP(D20,Settings!$A$19:$A$23,Settings!$B$19:$B$23)</f>
        <v>10 to 14 hrs</v>
      </c>
      <c r="R20" s="11" t="str">
        <f>LOOKUP(E20,Settings!$A$28:$A$31,Settings!$B$28:$B$31)</f>
        <v>75 to 84%</v>
      </c>
      <c r="S20" s="11" t="str">
        <f>IF(OR(N20&lt;Settings!$B$4,E20&lt;Settings!$B$5),"Yes","No")</f>
        <v>Yes</v>
      </c>
      <c r="T20" s="11">
        <f>RANK(N20,$N$2:$N$301,0)+COUNTIF($N$2:N20,N20)-1</f>
        <v>296</v>
      </c>
    </row>
    <row r="21" spans="1:20" x14ac:dyDescent="0.3">
      <c r="A21" s="24" t="s">
        <v>127</v>
      </c>
      <c r="B21" s="24" t="s">
        <v>46</v>
      </c>
      <c r="C21" s="24" t="s">
        <v>59</v>
      </c>
      <c r="D21" s="25">
        <v>20.5</v>
      </c>
      <c r="E21" s="24">
        <v>100</v>
      </c>
      <c r="F21" s="24" t="s">
        <v>62</v>
      </c>
      <c r="G21" s="24" t="s">
        <v>67</v>
      </c>
      <c r="H21" s="24" t="s">
        <v>67</v>
      </c>
      <c r="I21" s="24">
        <v>74</v>
      </c>
      <c r="J21" s="24">
        <v>74</v>
      </c>
      <c r="K21" s="24">
        <v>86</v>
      </c>
      <c r="L21" s="24">
        <v>71</v>
      </c>
      <c r="M21" s="24">
        <v>66</v>
      </c>
      <c r="N21" s="26">
        <f t="shared" si="0"/>
        <v>74.2</v>
      </c>
      <c r="O21" s="11" t="str">
        <f>LOOKUP(N21,Settings!$A$10:$A$14,Settings!$B$10:$B$14)</f>
        <v>B</v>
      </c>
      <c r="P21" s="11" t="str">
        <f>IF(N21&gt;=Settings!$B$3,"Pass","Fail")</f>
        <v>Pass</v>
      </c>
      <c r="Q21" s="11" t="str">
        <f>LOOKUP(D21,Settings!$A$19:$A$23,Settings!$B$19:$B$23)</f>
        <v>20+ hrs</v>
      </c>
      <c r="R21" s="11" t="str">
        <f>LOOKUP(E21,Settings!$A$28:$A$31,Settings!$B$28:$B$31)</f>
        <v>95 to 100%</v>
      </c>
      <c r="S21" s="11" t="str">
        <f>IF(OR(N21&lt;Settings!$B$4,E21&lt;Settings!$B$5),"Yes","No")</f>
        <v>No</v>
      </c>
      <c r="T21" s="11">
        <f>RANK(N21,$N$2:$N$301,0)+COUNTIF($N$2:N21,N21)-1</f>
        <v>25</v>
      </c>
    </row>
    <row r="22" spans="1:20" x14ac:dyDescent="0.3">
      <c r="A22" s="24" t="s">
        <v>128</v>
      </c>
      <c r="B22" s="24" t="s">
        <v>46</v>
      </c>
      <c r="C22" s="24" t="s">
        <v>59</v>
      </c>
      <c r="D22" s="25">
        <v>14.2</v>
      </c>
      <c r="E22" s="24">
        <v>93</v>
      </c>
      <c r="F22" s="24" t="s">
        <v>64</v>
      </c>
      <c r="G22" s="24" t="s">
        <v>67</v>
      </c>
      <c r="H22" s="24" t="s">
        <v>67</v>
      </c>
      <c r="I22" s="24">
        <v>74</v>
      </c>
      <c r="J22" s="24">
        <v>80</v>
      </c>
      <c r="K22" s="24">
        <v>73</v>
      </c>
      <c r="L22" s="24">
        <v>85</v>
      </c>
      <c r="M22" s="24">
        <v>79</v>
      </c>
      <c r="N22" s="26">
        <f t="shared" si="0"/>
        <v>78.2</v>
      </c>
      <c r="O22" s="11" t="str">
        <f>LOOKUP(N22,Settings!$A$10:$A$14,Settings!$B$10:$B$14)</f>
        <v>B</v>
      </c>
      <c r="P22" s="11" t="str">
        <f>IF(N22&gt;=Settings!$B$3,"Pass","Fail")</f>
        <v>Pass</v>
      </c>
      <c r="Q22" s="11" t="str">
        <f>LOOKUP(D22,Settings!$A$19:$A$23,Settings!$B$19:$B$23)</f>
        <v>10 to 14 hrs</v>
      </c>
      <c r="R22" s="11" t="str">
        <f>LOOKUP(E22,Settings!$A$28:$A$31,Settings!$B$28:$B$31)</f>
        <v>85 to 94%</v>
      </c>
      <c r="S22" s="11" t="str">
        <f>IF(OR(N22&lt;Settings!$B$4,E22&lt;Settings!$B$5),"Yes","No")</f>
        <v>No</v>
      </c>
      <c r="T22" s="11">
        <f>RANK(N22,$N$2:$N$301,0)+COUNTIF($N$2:N22,N22)-1</f>
        <v>12</v>
      </c>
    </row>
    <row r="23" spans="1:20" x14ac:dyDescent="0.3">
      <c r="A23" s="24" t="s">
        <v>129</v>
      </c>
      <c r="B23" s="24" t="s">
        <v>45</v>
      </c>
      <c r="C23" s="24" t="s">
        <v>58</v>
      </c>
      <c r="D23" s="25">
        <v>14.8</v>
      </c>
      <c r="E23" s="24">
        <v>88</v>
      </c>
      <c r="F23" s="24" t="s">
        <v>63</v>
      </c>
      <c r="G23" s="24" t="s">
        <v>68</v>
      </c>
      <c r="H23" s="24" t="s">
        <v>67</v>
      </c>
      <c r="I23" s="24">
        <v>71</v>
      </c>
      <c r="J23" s="24">
        <v>68</v>
      </c>
      <c r="K23" s="24">
        <v>76</v>
      </c>
      <c r="L23" s="24">
        <v>73</v>
      </c>
      <c r="M23" s="24">
        <v>78</v>
      </c>
      <c r="N23" s="26">
        <f t="shared" si="0"/>
        <v>73.2</v>
      </c>
      <c r="O23" s="11" t="str">
        <f>LOOKUP(N23,Settings!$A$10:$A$14,Settings!$B$10:$B$14)</f>
        <v>B</v>
      </c>
      <c r="P23" s="11" t="str">
        <f>IF(N23&gt;=Settings!$B$3,"Pass","Fail")</f>
        <v>Pass</v>
      </c>
      <c r="Q23" s="11" t="str">
        <f>LOOKUP(D23,Settings!$A$19:$A$23,Settings!$B$19:$B$23)</f>
        <v>10 to 14 hrs</v>
      </c>
      <c r="R23" s="11" t="str">
        <f>LOOKUP(E23,Settings!$A$28:$A$31,Settings!$B$28:$B$31)</f>
        <v>85 to 94%</v>
      </c>
      <c r="S23" s="11" t="str">
        <f>IF(OR(N23&lt;Settings!$B$4,E23&lt;Settings!$B$5),"Yes","No")</f>
        <v>No</v>
      </c>
      <c r="T23" s="11">
        <f>RANK(N23,$N$2:$N$301,0)+COUNTIF($N$2:N23,N23)-1</f>
        <v>32</v>
      </c>
    </row>
    <row r="24" spans="1:20" x14ac:dyDescent="0.3">
      <c r="A24" s="24" t="s">
        <v>130</v>
      </c>
      <c r="B24" s="24" t="s">
        <v>46</v>
      </c>
      <c r="C24" s="24" t="s">
        <v>57</v>
      </c>
      <c r="D24" s="25">
        <v>12.6</v>
      </c>
      <c r="E24" s="24">
        <v>67</v>
      </c>
      <c r="F24" s="24" t="s">
        <v>64</v>
      </c>
      <c r="G24" s="24" t="s">
        <v>67</v>
      </c>
      <c r="H24" s="24" t="s">
        <v>68</v>
      </c>
      <c r="I24" s="24">
        <v>47</v>
      </c>
      <c r="J24" s="24">
        <v>59</v>
      </c>
      <c r="K24" s="24">
        <v>53</v>
      </c>
      <c r="L24" s="24">
        <v>52</v>
      </c>
      <c r="M24" s="24">
        <v>57</v>
      </c>
      <c r="N24" s="26">
        <f t="shared" si="0"/>
        <v>53.6</v>
      </c>
      <c r="O24" s="11" t="str">
        <f>LOOKUP(N24,Settings!$A$10:$A$14,Settings!$B$10:$B$14)</f>
        <v>D</v>
      </c>
      <c r="P24" s="11" t="str">
        <f>IF(N24&gt;=Settings!$B$3,"Pass","Fail")</f>
        <v>Pass</v>
      </c>
      <c r="Q24" s="11" t="str">
        <f>LOOKUP(D24,Settings!$A$19:$A$23,Settings!$B$19:$B$23)</f>
        <v>10 to 14 hrs</v>
      </c>
      <c r="R24" s="11" t="str">
        <f>LOOKUP(E24,Settings!$A$28:$A$31,Settings!$B$28:$B$31)</f>
        <v>Below 75%</v>
      </c>
      <c r="S24" s="11" t="str">
        <f>IF(OR(N24&lt;Settings!$B$4,E24&lt;Settings!$B$5),"Yes","No")</f>
        <v>Yes</v>
      </c>
      <c r="T24" s="11">
        <f>RANK(N24,$N$2:$N$301,0)+COUNTIF($N$2:N24,N24)-1</f>
        <v>237</v>
      </c>
    </row>
    <row r="25" spans="1:20" x14ac:dyDescent="0.3">
      <c r="A25" s="24" t="s">
        <v>131</v>
      </c>
      <c r="B25" s="24" t="s">
        <v>46</v>
      </c>
      <c r="C25" s="24" t="s">
        <v>58</v>
      </c>
      <c r="D25" s="25">
        <v>13.6</v>
      </c>
      <c r="E25" s="24">
        <v>79</v>
      </c>
      <c r="F25" s="24" t="s">
        <v>63</v>
      </c>
      <c r="G25" s="24" t="s">
        <v>67</v>
      </c>
      <c r="H25" s="24" t="s">
        <v>68</v>
      </c>
      <c r="I25" s="24">
        <v>62</v>
      </c>
      <c r="J25" s="24">
        <v>58</v>
      </c>
      <c r="K25" s="24">
        <v>65</v>
      </c>
      <c r="L25" s="24">
        <v>72</v>
      </c>
      <c r="M25" s="24">
        <v>64</v>
      </c>
      <c r="N25" s="26">
        <f t="shared" si="0"/>
        <v>64.2</v>
      </c>
      <c r="O25" s="11" t="str">
        <f>LOOKUP(N25,Settings!$A$10:$A$14,Settings!$B$10:$B$14)</f>
        <v>C</v>
      </c>
      <c r="P25" s="11" t="str">
        <f>IF(N25&gt;=Settings!$B$3,"Pass","Fail")</f>
        <v>Pass</v>
      </c>
      <c r="Q25" s="11" t="str">
        <f>LOOKUP(D25,Settings!$A$19:$A$23,Settings!$B$19:$B$23)</f>
        <v>10 to 14 hrs</v>
      </c>
      <c r="R25" s="11" t="str">
        <f>LOOKUP(E25,Settings!$A$28:$A$31,Settings!$B$28:$B$31)</f>
        <v>75 to 84%</v>
      </c>
      <c r="S25" s="11" t="str">
        <f>IF(OR(N25&lt;Settings!$B$4,E25&lt;Settings!$B$5),"Yes","No")</f>
        <v>No</v>
      </c>
      <c r="T25" s="11">
        <f>RANK(N25,$N$2:$N$301,0)+COUNTIF($N$2:N25,N25)-1</f>
        <v>125</v>
      </c>
    </row>
    <row r="26" spans="1:20" x14ac:dyDescent="0.3">
      <c r="A26" s="24" t="s">
        <v>132</v>
      </c>
      <c r="B26" s="24" t="s">
        <v>46</v>
      </c>
      <c r="C26" s="24" t="s">
        <v>59</v>
      </c>
      <c r="D26" s="25">
        <v>15.9</v>
      </c>
      <c r="E26" s="24">
        <v>93</v>
      </c>
      <c r="F26" s="24" t="s">
        <v>64</v>
      </c>
      <c r="G26" s="24" t="s">
        <v>67</v>
      </c>
      <c r="H26" s="24" t="s">
        <v>67</v>
      </c>
      <c r="I26" s="24">
        <v>85</v>
      </c>
      <c r="J26" s="24">
        <v>69</v>
      </c>
      <c r="K26" s="24">
        <v>71</v>
      </c>
      <c r="L26" s="24">
        <v>75</v>
      </c>
      <c r="M26" s="24">
        <v>82</v>
      </c>
      <c r="N26" s="26">
        <f t="shared" si="0"/>
        <v>76.400000000000006</v>
      </c>
      <c r="O26" s="11" t="str">
        <f>LOOKUP(N26,Settings!$A$10:$A$14,Settings!$B$10:$B$14)</f>
        <v>B</v>
      </c>
      <c r="P26" s="11" t="str">
        <f>IF(N26&gt;=Settings!$B$3,"Pass","Fail")</f>
        <v>Pass</v>
      </c>
      <c r="Q26" s="11" t="str">
        <f>LOOKUP(D26,Settings!$A$19:$A$23,Settings!$B$19:$B$23)</f>
        <v>15 to 19 hrs</v>
      </c>
      <c r="R26" s="11" t="str">
        <f>LOOKUP(E26,Settings!$A$28:$A$31,Settings!$B$28:$B$31)</f>
        <v>85 to 94%</v>
      </c>
      <c r="S26" s="11" t="str">
        <f>IF(OR(N26&lt;Settings!$B$4,E26&lt;Settings!$B$5),"Yes","No")</f>
        <v>No</v>
      </c>
      <c r="T26" s="11">
        <f>RANK(N26,$N$2:$N$301,0)+COUNTIF($N$2:N26,N26)-1</f>
        <v>20</v>
      </c>
    </row>
    <row r="27" spans="1:20" x14ac:dyDescent="0.3">
      <c r="A27" s="24" t="s">
        <v>133</v>
      </c>
      <c r="B27" s="24" t="s">
        <v>45</v>
      </c>
      <c r="C27" s="24" t="s">
        <v>58</v>
      </c>
      <c r="D27" s="25">
        <v>8</v>
      </c>
      <c r="E27" s="24">
        <v>95</v>
      </c>
      <c r="F27" s="24" t="s">
        <v>63</v>
      </c>
      <c r="G27" s="24" t="s">
        <v>67</v>
      </c>
      <c r="H27" s="24" t="s">
        <v>68</v>
      </c>
      <c r="I27" s="24">
        <v>60</v>
      </c>
      <c r="J27" s="24">
        <v>68</v>
      </c>
      <c r="K27" s="24">
        <v>61</v>
      </c>
      <c r="L27" s="24">
        <v>72</v>
      </c>
      <c r="M27" s="24">
        <v>76</v>
      </c>
      <c r="N27" s="26">
        <f t="shared" si="0"/>
        <v>67.400000000000006</v>
      </c>
      <c r="O27" s="11" t="str">
        <f>LOOKUP(N27,Settings!$A$10:$A$14,Settings!$B$10:$B$14)</f>
        <v>C</v>
      </c>
      <c r="P27" s="11" t="str">
        <f>IF(N27&gt;=Settings!$B$3,"Pass","Fail")</f>
        <v>Pass</v>
      </c>
      <c r="Q27" s="11" t="str">
        <f>LOOKUP(D27,Settings!$A$19:$A$23,Settings!$B$19:$B$23)</f>
        <v>5 to 9 hrs</v>
      </c>
      <c r="R27" s="11" t="str">
        <f>LOOKUP(E27,Settings!$A$28:$A$31,Settings!$B$28:$B$31)</f>
        <v>95 to 100%</v>
      </c>
      <c r="S27" s="11" t="str">
        <f>IF(OR(N27&lt;Settings!$B$4,E27&lt;Settings!$B$5),"Yes","No")</f>
        <v>No</v>
      </c>
      <c r="T27" s="11">
        <f>RANK(N27,$N$2:$N$301,0)+COUNTIF($N$2:N27,N27)-1</f>
        <v>81</v>
      </c>
    </row>
    <row r="28" spans="1:20" x14ac:dyDescent="0.3">
      <c r="A28" s="24" t="s">
        <v>134</v>
      </c>
      <c r="B28" s="24" t="s">
        <v>45</v>
      </c>
      <c r="C28" s="24" t="s">
        <v>59</v>
      </c>
      <c r="D28" s="25">
        <v>16.399999999999999</v>
      </c>
      <c r="E28" s="24">
        <v>96</v>
      </c>
      <c r="F28" s="24" t="s">
        <v>64</v>
      </c>
      <c r="G28" s="24" t="s">
        <v>67</v>
      </c>
      <c r="H28" s="24" t="s">
        <v>68</v>
      </c>
      <c r="I28" s="24">
        <v>63</v>
      </c>
      <c r="J28" s="24">
        <v>66</v>
      </c>
      <c r="K28" s="24">
        <v>75</v>
      </c>
      <c r="L28" s="24">
        <v>67</v>
      </c>
      <c r="M28" s="24">
        <v>67</v>
      </c>
      <c r="N28" s="26">
        <f t="shared" si="0"/>
        <v>67.599999999999994</v>
      </c>
      <c r="O28" s="11" t="str">
        <f>LOOKUP(N28,Settings!$A$10:$A$14,Settings!$B$10:$B$14)</f>
        <v>C</v>
      </c>
      <c r="P28" s="11" t="str">
        <f>IF(N28&gt;=Settings!$B$3,"Pass","Fail")</f>
        <v>Pass</v>
      </c>
      <c r="Q28" s="11" t="str">
        <f>LOOKUP(D28,Settings!$A$19:$A$23,Settings!$B$19:$B$23)</f>
        <v>15 to 19 hrs</v>
      </c>
      <c r="R28" s="11" t="str">
        <f>LOOKUP(E28,Settings!$A$28:$A$31,Settings!$B$28:$B$31)</f>
        <v>95 to 100%</v>
      </c>
      <c r="S28" s="11" t="str">
        <f>IF(OR(N28&lt;Settings!$B$4,E28&lt;Settings!$B$5),"Yes","No")</f>
        <v>No</v>
      </c>
      <c r="T28" s="11">
        <f>RANK(N28,$N$2:$N$301,0)+COUNTIF($N$2:N28,N28)-1</f>
        <v>80</v>
      </c>
    </row>
    <row r="29" spans="1:20" x14ac:dyDescent="0.3">
      <c r="A29" s="24" t="s">
        <v>135</v>
      </c>
      <c r="B29" s="24" t="s">
        <v>45</v>
      </c>
      <c r="C29" s="24" t="s">
        <v>58</v>
      </c>
      <c r="D29" s="25">
        <v>5.0999999999999996</v>
      </c>
      <c r="E29" s="24">
        <v>71</v>
      </c>
      <c r="F29" s="24" t="s">
        <v>62</v>
      </c>
      <c r="G29" s="24" t="s">
        <v>68</v>
      </c>
      <c r="H29" s="24" t="s">
        <v>68</v>
      </c>
      <c r="I29" s="24">
        <v>45</v>
      </c>
      <c r="J29" s="24">
        <v>43</v>
      </c>
      <c r="K29" s="24">
        <v>51</v>
      </c>
      <c r="L29" s="24">
        <v>49</v>
      </c>
      <c r="M29" s="24">
        <v>41</v>
      </c>
      <c r="N29" s="26">
        <f t="shared" si="0"/>
        <v>45.8</v>
      </c>
      <c r="O29" s="11" t="str">
        <f>LOOKUP(N29,Settings!$A$10:$A$14,Settings!$B$10:$B$14)</f>
        <v>F</v>
      </c>
      <c r="P29" s="11" t="str">
        <f>IF(N29&gt;=Settings!$B$3,"Pass","Fail")</f>
        <v>Fail</v>
      </c>
      <c r="Q29" s="11" t="str">
        <f>LOOKUP(D29,Settings!$A$19:$A$23,Settings!$B$19:$B$23)</f>
        <v>5 to 9 hrs</v>
      </c>
      <c r="R29" s="11" t="str">
        <f>LOOKUP(E29,Settings!$A$28:$A$31,Settings!$B$28:$B$31)</f>
        <v>Below 75%</v>
      </c>
      <c r="S29" s="11" t="str">
        <f>IF(OR(N29&lt;Settings!$B$4,E29&lt;Settings!$B$5),"Yes","No")</f>
        <v>Yes</v>
      </c>
      <c r="T29" s="11">
        <f>RANK(N29,$N$2:$N$301,0)+COUNTIF($N$2:N29,N29)-1</f>
        <v>283</v>
      </c>
    </row>
    <row r="30" spans="1:20" x14ac:dyDescent="0.3">
      <c r="A30" s="24" t="s">
        <v>136</v>
      </c>
      <c r="B30" s="24" t="s">
        <v>45</v>
      </c>
      <c r="C30" s="24" t="s">
        <v>58</v>
      </c>
      <c r="D30" s="25">
        <v>13.6</v>
      </c>
      <c r="E30" s="24">
        <v>89</v>
      </c>
      <c r="F30" s="24" t="s">
        <v>63</v>
      </c>
      <c r="G30" s="24" t="s">
        <v>67</v>
      </c>
      <c r="H30" s="24" t="s">
        <v>68</v>
      </c>
      <c r="I30" s="24">
        <v>68</v>
      </c>
      <c r="J30" s="24">
        <v>73</v>
      </c>
      <c r="K30" s="24">
        <v>63</v>
      </c>
      <c r="L30" s="24">
        <v>62</v>
      </c>
      <c r="M30" s="24">
        <v>57</v>
      </c>
      <c r="N30" s="26">
        <f t="shared" si="0"/>
        <v>64.599999999999994</v>
      </c>
      <c r="O30" s="11" t="str">
        <f>LOOKUP(N30,Settings!$A$10:$A$14,Settings!$B$10:$B$14)</f>
        <v>C</v>
      </c>
      <c r="P30" s="11" t="str">
        <f>IF(N30&gt;=Settings!$B$3,"Pass","Fail")</f>
        <v>Pass</v>
      </c>
      <c r="Q30" s="11" t="str">
        <f>LOOKUP(D30,Settings!$A$19:$A$23,Settings!$B$19:$B$23)</f>
        <v>10 to 14 hrs</v>
      </c>
      <c r="R30" s="11" t="str">
        <f>LOOKUP(E30,Settings!$A$28:$A$31,Settings!$B$28:$B$31)</f>
        <v>85 to 94%</v>
      </c>
      <c r="S30" s="11" t="str">
        <f>IF(OR(N30&lt;Settings!$B$4,E30&lt;Settings!$B$5),"Yes","No")</f>
        <v>No</v>
      </c>
      <c r="T30" s="11">
        <f>RANK(N30,$N$2:$N$301,0)+COUNTIF($N$2:N30,N30)-1</f>
        <v>119</v>
      </c>
    </row>
    <row r="31" spans="1:20" x14ac:dyDescent="0.3">
      <c r="A31" s="24" t="s">
        <v>137</v>
      </c>
      <c r="B31" s="24" t="s">
        <v>46</v>
      </c>
      <c r="C31" s="24" t="s">
        <v>57</v>
      </c>
      <c r="D31" s="25">
        <v>12.9</v>
      </c>
      <c r="E31" s="24">
        <v>94</v>
      </c>
      <c r="F31" s="24" t="s">
        <v>64</v>
      </c>
      <c r="G31" s="24" t="s">
        <v>68</v>
      </c>
      <c r="H31" s="24" t="s">
        <v>67</v>
      </c>
      <c r="I31" s="24">
        <v>71</v>
      </c>
      <c r="J31" s="24">
        <v>57</v>
      </c>
      <c r="K31" s="24">
        <v>78</v>
      </c>
      <c r="L31" s="24">
        <v>64</v>
      </c>
      <c r="M31" s="24">
        <v>67</v>
      </c>
      <c r="N31" s="26">
        <f t="shared" si="0"/>
        <v>67.400000000000006</v>
      </c>
      <c r="O31" s="11" t="str">
        <f>LOOKUP(N31,Settings!$A$10:$A$14,Settings!$B$10:$B$14)</f>
        <v>C</v>
      </c>
      <c r="P31" s="11" t="str">
        <f>IF(N31&gt;=Settings!$B$3,"Pass","Fail")</f>
        <v>Pass</v>
      </c>
      <c r="Q31" s="11" t="str">
        <f>LOOKUP(D31,Settings!$A$19:$A$23,Settings!$B$19:$B$23)</f>
        <v>10 to 14 hrs</v>
      </c>
      <c r="R31" s="11" t="str">
        <f>LOOKUP(E31,Settings!$A$28:$A$31,Settings!$B$28:$B$31)</f>
        <v>85 to 94%</v>
      </c>
      <c r="S31" s="11" t="str">
        <f>IF(OR(N31&lt;Settings!$B$4,E31&lt;Settings!$B$5),"Yes","No")</f>
        <v>No</v>
      </c>
      <c r="T31" s="11">
        <f>RANK(N31,$N$2:$N$301,0)+COUNTIF($N$2:N31,N31)-1</f>
        <v>82</v>
      </c>
    </row>
    <row r="32" spans="1:20" x14ac:dyDescent="0.3">
      <c r="A32" s="24" t="s">
        <v>138</v>
      </c>
      <c r="B32" s="24" t="s">
        <v>46</v>
      </c>
      <c r="C32" s="24" t="s">
        <v>59</v>
      </c>
      <c r="D32" s="25">
        <v>8.9</v>
      </c>
      <c r="E32" s="24">
        <v>72</v>
      </c>
      <c r="F32" s="24" t="s">
        <v>64</v>
      </c>
      <c r="G32" s="24" t="s">
        <v>67</v>
      </c>
      <c r="H32" s="24" t="s">
        <v>67</v>
      </c>
      <c r="I32" s="24">
        <v>49</v>
      </c>
      <c r="J32" s="24">
        <v>50</v>
      </c>
      <c r="K32" s="24">
        <v>63</v>
      </c>
      <c r="L32" s="24">
        <v>58</v>
      </c>
      <c r="M32" s="24">
        <v>60</v>
      </c>
      <c r="N32" s="26">
        <f t="shared" si="0"/>
        <v>56</v>
      </c>
      <c r="O32" s="11" t="str">
        <f>LOOKUP(N32,Settings!$A$10:$A$14,Settings!$B$10:$B$14)</f>
        <v>D</v>
      </c>
      <c r="P32" s="11" t="str">
        <f>IF(N32&gt;=Settings!$B$3,"Pass","Fail")</f>
        <v>Pass</v>
      </c>
      <c r="Q32" s="11" t="str">
        <f>LOOKUP(D32,Settings!$A$19:$A$23,Settings!$B$19:$B$23)</f>
        <v>5 to 9 hrs</v>
      </c>
      <c r="R32" s="11" t="str">
        <f>LOOKUP(E32,Settings!$A$28:$A$31,Settings!$B$28:$B$31)</f>
        <v>Below 75%</v>
      </c>
      <c r="S32" s="11" t="str">
        <f>IF(OR(N32&lt;Settings!$B$4,E32&lt;Settings!$B$5),"Yes","No")</f>
        <v>Yes</v>
      </c>
      <c r="T32" s="11">
        <f>RANK(N32,$N$2:$N$301,0)+COUNTIF($N$2:N32,N32)-1</f>
        <v>217</v>
      </c>
    </row>
    <row r="33" spans="1:20" x14ac:dyDescent="0.3">
      <c r="A33" s="24" t="s">
        <v>139</v>
      </c>
      <c r="B33" s="24" t="s">
        <v>46</v>
      </c>
      <c r="C33" s="24" t="s">
        <v>57</v>
      </c>
      <c r="D33" s="25">
        <v>11.9</v>
      </c>
      <c r="E33" s="24">
        <v>86</v>
      </c>
      <c r="F33" s="24" t="s">
        <v>64</v>
      </c>
      <c r="G33" s="24" t="s">
        <v>67</v>
      </c>
      <c r="H33" s="24" t="s">
        <v>68</v>
      </c>
      <c r="I33" s="24">
        <v>75</v>
      </c>
      <c r="J33" s="24">
        <v>61</v>
      </c>
      <c r="K33" s="24">
        <v>78</v>
      </c>
      <c r="L33" s="24">
        <v>71</v>
      </c>
      <c r="M33" s="24">
        <v>78</v>
      </c>
      <c r="N33" s="26">
        <f t="shared" si="0"/>
        <v>72.599999999999994</v>
      </c>
      <c r="O33" s="11" t="str">
        <f>LOOKUP(N33,Settings!$A$10:$A$14,Settings!$B$10:$B$14)</f>
        <v>B</v>
      </c>
      <c r="P33" s="11" t="str">
        <f>IF(N33&gt;=Settings!$B$3,"Pass","Fail")</f>
        <v>Pass</v>
      </c>
      <c r="Q33" s="11" t="str">
        <f>LOOKUP(D33,Settings!$A$19:$A$23,Settings!$B$19:$B$23)</f>
        <v>10 to 14 hrs</v>
      </c>
      <c r="R33" s="11" t="str">
        <f>LOOKUP(E33,Settings!$A$28:$A$31,Settings!$B$28:$B$31)</f>
        <v>85 to 94%</v>
      </c>
      <c r="S33" s="11" t="str">
        <f>IF(OR(N33&lt;Settings!$B$4,E33&lt;Settings!$B$5),"Yes","No")</f>
        <v>No</v>
      </c>
      <c r="T33" s="11">
        <f>RANK(N33,$N$2:$N$301,0)+COUNTIF($N$2:N33,N33)-1</f>
        <v>34</v>
      </c>
    </row>
    <row r="34" spans="1:20" x14ac:dyDescent="0.3">
      <c r="A34" s="24" t="s">
        <v>140</v>
      </c>
      <c r="B34" s="24" t="s">
        <v>45</v>
      </c>
      <c r="C34" s="24" t="s">
        <v>58</v>
      </c>
      <c r="D34" s="25">
        <v>8.9</v>
      </c>
      <c r="E34" s="24">
        <v>87</v>
      </c>
      <c r="F34" s="24" t="s">
        <v>62</v>
      </c>
      <c r="G34" s="24" t="s">
        <v>67</v>
      </c>
      <c r="H34" s="24" t="s">
        <v>67</v>
      </c>
      <c r="I34" s="24">
        <v>48</v>
      </c>
      <c r="J34" s="24">
        <v>61</v>
      </c>
      <c r="K34" s="24">
        <v>58</v>
      </c>
      <c r="L34" s="24">
        <v>57</v>
      </c>
      <c r="M34" s="24">
        <v>69</v>
      </c>
      <c r="N34" s="26">
        <f t="shared" si="0"/>
        <v>58.6</v>
      </c>
      <c r="O34" s="11" t="str">
        <f>LOOKUP(N34,Settings!$A$10:$A$14,Settings!$B$10:$B$14)</f>
        <v>D</v>
      </c>
      <c r="P34" s="11" t="str">
        <f>IF(N34&gt;=Settings!$B$3,"Pass","Fail")</f>
        <v>Pass</v>
      </c>
      <c r="Q34" s="11" t="str">
        <f>LOOKUP(D34,Settings!$A$19:$A$23,Settings!$B$19:$B$23)</f>
        <v>5 to 9 hrs</v>
      </c>
      <c r="R34" s="11" t="str">
        <f>LOOKUP(E34,Settings!$A$28:$A$31,Settings!$B$28:$B$31)</f>
        <v>85 to 94%</v>
      </c>
      <c r="S34" s="11" t="str">
        <f>IF(OR(N34&lt;Settings!$B$4,E34&lt;Settings!$B$5),"Yes","No")</f>
        <v>No</v>
      </c>
      <c r="T34" s="11">
        <f>RANK(N34,$N$2:$N$301,0)+COUNTIF($N$2:N34,N34)-1</f>
        <v>191</v>
      </c>
    </row>
    <row r="35" spans="1:20" x14ac:dyDescent="0.3">
      <c r="A35" s="24" t="s">
        <v>141</v>
      </c>
      <c r="B35" s="24" t="s">
        <v>45</v>
      </c>
      <c r="C35" s="24" t="s">
        <v>59</v>
      </c>
      <c r="D35" s="25">
        <v>6.6</v>
      </c>
      <c r="E35" s="24">
        <v>82</v>
      </c>
      <c r="F35" s="24" t="s">
        <v>63</v>
      </c>
      <c r="G35" s="24" t="s">
        <v>68</v>
      </c>
      <c r="H35" s="24" t="s">
        <v>68</v>
      </c>
      <c r="I35" s="24">
        <v>56</v>
      </c>
      <c r="J35" s="24">
        <v>56</v>
      </c>
      <c r="K35" s="24">
        <v>69</v>
      </c>
      <c r="L35" s="24">
        <v>60</v>
      </c>
      <c r="M35" s="24">
        <v>57</v>
      </c>
      <c r="N35" s="26">
        <f t="shared" si="0"/>
        <v>59.6</v>
      </c>
      <c r="O35" s="11" t="str">
        <f>LOOKUP(N35,Settings!$A$10:$A$14,Settings!$B$10:$B$14)</f>
        <v>D</v>
      </c>
      <c r="P35" s="11" t="str">
        <f>IF(N35&gt;=Settings!$B$3,"Pass","Fail")</f>
        <v>Pass</v>
      </c>
      <c r="Q35" s="11" t="str">
        <f>LOOKUP(D35,Settings!$A$19:$A$23,Settings!$B$19:$B$23)</f>
        <v>5 to 9 hrs</v>
      </c>
      <c r="R35" s="11" t="str">
        <f>LOOKUP(E35,Settings!$A$28:$A$31,Settings!$B$28:$B$31)</f>
        <v>75 to 84%</v>
      </c>
      <c r="S35" s="11" t="str">
        <f>IF(OR(N35&lt;Settings!$B$4,E35&lt;Settings!$B$5),"Yes","No")</f>
        <v>No</v>
      </c>
      <c r="T35" s="11">
        <f>RANK(N35,$N$2:$N$301,0)+COUNTIF($N$2:N35,N35)-1</f>
        <v>181</v>
      </c>
    </row>
    <row r="36" spans="1:20" x14ac:dyDescent="0.3">
      <c r="A36" s="24" t="s">
        <v>142</v>
      </c>
      <c r="B36" s="24" t="s">
        <v>45</v>
      </c>
      <c r="C36" s="24" t="s">
        <v>57</v>
      </c>
      <c r="D36" s="25">
        <v>10.199999999999999</v>
      </c>
      <c r="E36" s="24">
        <v>71</v>
      </c>
      <c r="F36" s="24" t="s">
        <v>62</v>
      </c>
      <c r="G36" s="24" t="s">
        <v>68</v>
      </c>
      <c r="H36" s="24" t="s">
        <v>67</v>
      </c>
      <c r="I36" s="24">
        <v>46</v>
      </c>
      <c r="J36" s="24">
        <v>63</v>
      </c>
      <c r="K36" s="24">
        <v>49</v>
      </c>
      <c r="L36" s="24">
        <v>50</v>
      </c>
      <c r="M36" s="24">
        <v>48</v>
      </c>
      <c r="N36" s="26">
        <f t="shared" si="0"/>
        <v>51.2</v>
      </c>
      <c r="O36" s="11" t="str">
        <f>LOOKUP(N36,Settings!$A$10:$A$14,Settings!$B$10:$B$14)</f>
        <v>D</v>
      </c>
      <c r="P36" s="11" t="str">
        <f>IF(N36&gt;=Settings!$B$3,"Pass","Fail")</f>
        <v>Pass</v>
      </c>
      <c r="Q36" s="11" t="str">
        <f>LOOKUP(D36,Settings!$A$19:$A$23,Settings!$B$19:$B$23)</f>
        <v>10 to 14 hrs</v>
      </c>
      <c r="R36" s="11" t="str">
        <f>LOOKUP(E36,Settings!$A$28:$A$31,Settings!$B$28:$B$31)</f>
        <v>Below 75%</v>
      </c>
      <c r="S36" s="11" t="str">
        <f>IF(OR(N36&lt;Settings!$B$4,E36&lt;Settings!$B$5),"Yes","No")</f>
        <v>Yes</v>
      </c>
      <c r="T36" s="11">
        <f>RANK(N36,$N$2:$N$301,0)+COUNTIF($N$2:N36,N36)-1</f>
        <v>254</v>
      </c>
    </row>
    <row r="37" spans="1:20" x14ac:dyDescent="0.3">
      <c r="A37" s="24" t="s">
        <v>143</v>
      </c>
      <c r="B37" s="24" t="s">
        <v>45</v>
      </c>
      <c r="C37" s="24" t="s">
        <v>58</v>
      </c>
      <c r="D37" s="25">
        <v>6.5</v>
      </c>
      <c r="E37" s="24">
        <v>82</v>
      </c>
      <c r="F37" s="24" t="s">
        <v>62</v>
      </c>
      <c r="G37" s="24" t="s">
        <v>67</v>
      </c>
      <c r="H37" s="24" t="s">
        <v>67</v>
      </c>
      <c r="I37" s="24">
        <v>49</v>
      </c>
      <c r="J37" s="24">
        <v>65</v>
      </c>
      <c r="K37" s="24">
        <v>52</v>
      </c>
      <c r="L37" s="24">
        <v>62</v>
      </c>
      <c r="M37" s="24">
        <v>72</v>
      </c>
      <c r="N37" s="26">
        <f t="shared" si="0"/>
        <v>60</v>
      </c>
      <c r="O37" s="11" t="str">
        <f>LOOKUP(N37,Settings!$A$10:$A$14,Settings!$B$10:$B$14)</f>
        <v>C</v>
      </c>
      <c r="P37" s="11" t="str">
        <f>IF(N37&gt;=Settings!$B$3,"Pass","Fail")</f>
        <v>Pass</v>
      </c>
      <c r="Q37" s="11" t="str">
        <f>LOOKUP(D37,Settings!$A$19:$A$23,Settings!$B$19:$B$23)</f>
        <v>5 to 9 hrs</v>
      </c>
      <c r="R37" s="11" t="str">
        <f>LOOKUP(E37,Settings!$A$28:$A$31,Settings!$B$28:$B$31)</f>
        <v>75 to 84%</v>
      </c>
      <c r="S37" s="11" t="str">
        <f>IF(OR(N37&lt;Settings!$B$4,E37&lt;Settings!$B$5),"Yes","No")</f>
        <v>No</v>
      </c>
      <c r="T37" s="11">
        <f>RANK(N37,$N$2:$N$301,0)+COUNTIF($N$2:N37,N37)-1</f>
        <v>176</v>
      </c>
    </row>
    <row r="38" spans="1:20" x14ac:dyDescent="0.3">
      <c r="A38" s="24" t="s">
        <v>144</v>
      </c>
      <c r="B38" s="24" t="s">
        <v>45</v>
      </c>
      <c r="C38" s="24" t="s">
        <v>57</v>
      </c>
      <c r="D38" s="25">
        <v>13.6</v>
      </c>
      <c r="E38" s="24">
        <v>84</v>
      </c>
      <c r="F38" s="24" t="s">
        <v>63</v>
      </c>
      <c r="G38" s="24" t="s">
        <v>68</v>
      </c>
      <c r="H38" s="24" t="s">
        <v>67</v>
      </c>
      <c r="I38" s="24">
        <v>63</v>
      </c>
      <c r="J38" s="24">
        <v>72</v>
      </c>
      <c r="K38" s="24">
        <v>59</v>
      </c>
      <c r="L38" s="24">
        <v>71</v>
      </c>
      <c r="M38" s="24">
        <v>62</v>
      </c>
      <c r="N38" s="26">
        <f t="shared" si="0"/>
        <v>65.400000000000006</v>
      </c>
      <c r="O38" s="11" t="str">
        <f>LOOKUP(N38,Settings!$A$10:$A$14,Settings!$B$10:$B$14)</f>
        <v>C</v>
      </c>
      <c r="P38" s="11" t="str">
        <f>IF(N38&gt;=Settings!$B$3,"Pass","Fail")</f>
        <v>Pass</v>
      </c>
      <c r="Q38" s="11" t="str">
        <f>LOOKUP(D38,Settings!$A$19:$A$23,Settings!$B$19:$B$23)</f>
        <v>10 to 14 hrs</v>
      </c>
      <c r="R38" s="11" t="str">
        <f>LOOKUP(E38,Settings!$A$28:$A$31,Settings!$B$28:$B$31)</f>
        <v>75 to 84%</v>
      </c>
      <c r="S38" s="11" t="str">
        <f>IF(OR(N38&lt;Settings!$B$4,E38&lt;Settings!$B$5),"Yes","No")</f>
        <v>No</v>
      </c>
      <c r="T38" s="11">
        <f>RANK(N38,$N$2:$N$301,0)+COUNTIF($N$2:N38,N38)-1</f>
        <v>108</v>
      </c>
    </row>
    <row r="39" spans="1:20" x14ac:dyDescent="0.3">
      <c r="A39" s="24" t="s">
        <v>145</v>
      </c>
      <c r="B39" s="24" t="s">
        <v>45</v>
      </c>
      <c r="C39" s="24" t="s">
        <v>59</v>
      </c>
      <c r="D39" s="25">
        <v>6.2</v>
      </c>
      <c r="E39" s="24">
        <v>83</v>
      </c>
      <c r="F39" s="24" t="s">
        <v>63</v>
      </c>
      <c r="G39" s="24" t="s">
        <v>67</v>
      </c>
      <c r="H39" s="24" t="s">
        <v>67</v>
      </c>
      <c r="I39" s="24">
        <v>49</v>
      </c>
      <c r="J39" s="24">
        <v>54</v>
      </c>
      <c r="K39" s="24">
        <v>65</v>
      </c>
      <c r="L39" s="24">
        <v>52</v>
      </c>
      <c r="M39" s="24">
        <v>47</v>
      </c>
      <c r="N39" s="26">
        <f t="shared" si="0"/>
        <v>53.4</v>
      </c>
      <c r="O39" s="11" t="str">
        <f>LOOKUP(N39,Settings!$A$10:$A$14,Settings!$B$10:$B$14)</f>
        <v>D</v>
      </c>
      <c r="P39" s="11" t="str">
        <f>IF(N39&gt;=Settings!$B$3,"Pass","Fail")</f>
        <v>Pass</v>
      </c>
      <c r="Q39" s="11" t="str">
        <f>LOOKUP(D39,Settings!$A$19:$A$23,Settings!$B$19:$B$23)</f>
        <v>5 to 9 hrs</v>
      </c>
      <c r="R39" s="11" t="str">
        <f>LOOKUP(E39,Settings!$A$28:$A$31,Settings!$B$28:$B$31)</f>
        <v>75 to 84%</v>
      </c>
      <c r="S39" s="11" t="str">
        <f>IF(OR(N39&lt;Settings!$B$4,E39&lt;Settings!$B$5),"Yes","No")</f>
        <v>Yes</v>
      </c>
      <c r="T39" s="11">
        <f>RANK(N39,$N$2:$N$301,0)+COUNTIF($N$2:N39,N39)-1</f>
        <v>240</v>
      </c>
    </row>
    <row r="40" spans="1:20" x14ac:dyDescent="0.3">
      <c r="A40" s="24" t="s">
        <v>146</v>
      </c>
      <c r="B40" s="24" t="s">
        <v>45</v>
      </c>
      <c r="C40" s="24" t="s">
        <v>57</v>
      </c>
      <c r="D40" s="25">
        <v>15.6</v>
      </c>
      <c r="E40" s="24">
        <v>83</v>
      </c>
      <c r="F40" s="24" t="s">
        <v>64</v>
      </c>
      <c r="G40" s="24" t="s">
        <v>68</v>
      </c>
      <c r="H40" s="24" t="s">
        <v>67</v>
      </c>
      <c r="I40" s="24">
        <v>53</v>
      </c>
      <c r="J40" s="24">
        <v>63</v>
      </c>
      <c r="K40" s="24">
        <v>63</v>
      </c>
      <c r="L40" s="24">
        <v>57</v>
      </c>
      <c r="M40" s="24">
        <v>46</v>
      </c>
      <c r="N40" s="26">
        <f t="shared" si="0"/>
        <v>56.4</v>
      </c>
      <c r="O40" s="11" t="str">
        <f>LOOKUP(N40,Settings!$A$10:$A$14,Settings!$B$10:$B$14)</f>
        <v>D</v>
      </c>
      <c r="P40" s="11" t="str">
        <f>IF(N40&gt;=Settings!$B$3,"Pass","Fail")</f>
        <v>Pass</v>
      </c>
      <c r="Q40" s="11" t="str">
        <f>LOOKUP(D40,Settings!$A$19:$A$23,Settings!$B$19:$B$23)</f>
        <v>15 to 19 hrs</v>
      </c>
      <c r="R40" s="11" t="str">
        <f>LOOKUP(E40,Settings!$A$28:$A$31,Settings!$B$28:$B$31)</f>
        <v>75 to 84%</v>
      </c>
      <c r="S40" s="11" t="str">
        <f>IF(OR(N40&lt;Settings!$B$4,E40&lt;Settings!$B$5),"Yes","No")</f>
        <v>No</v>
      </c>
      <c r="T40" s="11">
        <f>RANK(N40,$N$2:$N$301,0)+COUNTIF($N$2:N40,N40)-1</f>
        <v>210</v>
      </c>
    </row>
    <row r="41" spans="1:20" x14ac:dyDescent="0.3">
      <c r="A41" s="24" t="s">
        <v>147</v>
      </c>
      <c r="B41" s="24" t="s">
        <v>46</v>
      </c>
      <c r="C41" s="24" t="s">
        <v>59</v>
      </c>
      <c r="D41" s="25">
        <v>6.1</v>
      </c>
      <c r="E41" s="24">
        <v>81</v>
      </c>
      <c r="F41" s="24" t="s">
        <v>64</v>
      </c>
      <c r="G41" s="24" t="s">
        <v>67</v>
      </c>
      <c r="H41" s="24" t="s">
        <v>67</v>
      </c>
      <c r="I41" s="24">
        <v>71</v>
      </c>
      <c r="J41" s="24">
        <v>58</v>
      </c>
      <c r="K41" s="24">
        <v>63</v>
      </c>
      <c r="L41" s="24">
        <v>66</v>
      </c>
      <c r="M41" s="24">
        <v>75</v>
      </c>
      <c r="N41" s="26">
        <f t="shared" si="0"/>
        <v>66.599999999999994</v>
      </c>
      <c r="O41" s="11" t="str">
        <f>LOOKUP(N41,Settings!$A$10:$A$14,Settings!$B$10:$B$14)</f>
        <v>C</v>
      </c>
      <c r="P41" s="11" t="str">
        <f>IF(N41&gt;=Settings!$B$3,"Pass","Fail")</f>
        <v>Pass</v>
      </c>
      <c r="Q41" s="11" t="str">
        <f>LOOKUP(D41,Settings!$A$19:$A$23,Settings!$B$19:$B$23)</f>
        <v>5 to 9 hrs</v>
      </c>
      <c r="R41" s="11" t="str">
        <f>LOOKUP(E41,Settings!$A$28:$A$31,Settings!$B$28:$B$31)</f>
        <v>75 to 84%</v>
      </c>
      <c r="S41" s="11" t="str">
        <f>IF(OR(N41&lt;Settings!$B$4,E41&lt;Settings!$B$5),"Yes","No")</f>
        <v>No</v>
      </c>
      <c r="T41" s="11">
        <f>RANK(N41,$N$2:$N$301,0)+COUNTIF($N$2:N41,N41)-1</f>
        <v>96</v>
      </c>
    </row>
    <row r="42" spans="1:20" x14ac:dyDescent="0.3">
      <c r="A42" s="24" t="s">
        <v>148</v>
      </c>
      <c r="B42" s="24" t="s">
        <v>45</v>
      </c>
      <c r="C42" s="24" t="s">
        <v>57</v>
      </c>
      <c r="D42" s="25">
        <v>9.1999999999999993</v>
      </c>
      <c r="E42" s="24">
        <v>85</v>
      </c>
      <c r="F42" s="24" t="s">
        <v>63</v>
      </c>
      <c r="G42" s="24" t="s">
        <v>67</v>
      </c>
      <c r="H42" s="24" t="s">
        <v>68</v>
      </c>
      <c r="I42" s="24">
        <v>56</v>
      </c>
      <c r="J42" s="24">
        <v>68</v>
      </c>
      <c r="K42" s="24">
        <v>67</v>
      </c>
      <c r="L42" s="24">
        <v>65</v>
      </c>
      <c r="M42" s="24">
        <v>65</v>
      </c>
      <c r="N42" s="26">
        <f t="shared" si="0"/>
        <v>64.2</v>
      </c>
      <c r="O42" s="11" t="str">
        <f>LOOKUP(N42,Settings!$A$10:$A$14,Settings!$B$10:$B$14)</f>
        <v>C</v>
      </c>
      <c r="P42" s="11" t="str">
        <f>IF(N42&gt;=Settings!$B$3,"Pass","Fail")</f>
        <v>Pass</v>
      </c>
      <c r="Q42" s="11" t="str">
        <f>LOOKUP(D42,Settings!$A$19:$A$23,Settings!$B$19:$B$23)</f>
        <v>5 to 9 hrs</v>
      </c>
      <c r="R42" s="11" t="str">
        <f>LOOKUP(E42,Settings!$A$28:$A$31,Settings!$B$28:$B$31)</f>
        <v>85 to 94%</v>
      </c>
      <c r="S42" s="11" t="str">
        <f>IF(OR(N42&lt;Settings!$B$4,E42&lt;Settings!$B$5),"Yes","No")</f>
        <v>No</v>
      </c>
      <c r="T42" s="11">
        <f>RANK(N42,$N$2:$N$301,0)+COUNTIF($N$2:N42,N42)-1</f>
        <v>126</v>
      </c>
    </row>
    <row r="43" spans="1:20" x14ac:dyDescent="0.3">
      <c r="A43" s="24" t="s">
        <v>149</v>
      </c>
      <c r="B43" s="24" t="s">
        <v>46</v>
      </c>
      <c r="C43" s="24" t="s">
        <v>59</v>
      </c>
      <c r="D43" s="25">
        <v>8.9</v>
      </c>
      <c r="E43" s="24">
        <v>89</v>
      </c>
      <c r="F43" s="24" t="s">
        <v>64</v>
      </c>
      <c r="G43" s="24" t="s">
        <v>68</v>
      </c>
      <c r="H43" s="24" t="s">
        <v>67</v>
      </c>
      <c r="I43" s="24">
        <v>60</v>
      </c>
      <c r="J43" s="24">
        <v>44</v>
      </c>
      <c r="K43" s="24">
        <v>56</v>
      </c>
      <c r="L43" s="24">
        <v>65</v>
      </c>
      <c r="M43" s="24">
        <v>67</v>
      </c>
      <c r="N43" s="26">
        <f t="shared" si="0"/>
        <v>58.4</v>
      </c>
      <c r="O43" s="11" t="str">
        <f>LOOKUP(N43,Settings!$A$10:$A$14,Settings!$B$10:$B$14)</f>
        <v>D</v>
      </c>
      <c r="P43" s="11" t="str">
        <f>IF(N43&gt;=Settings!$B$3,"Pass","Fail")</f>
        <v>Pass</v>
      </c>
      <c r="Q43" s="11" t="str">
        <f>LOOKUP(D43,Settings!$A$19:$A$23,Settings!$B$19:$B$23)</f>
        <v>5 to 9 hrs</v>
      </c>
      <c r="R43" s="11" t="str">
        <f>LOOKUP(E43,Settings!$A$28:$A$31,Settings!$B$28:$B$31)</f>
        <v>85 to 94%</v>
      </c>
      <c r="S43" s="11" t="str">
        <f>IF(OR(N43&lt;Settings!$B$4,E43&lt;Settings!$B$5),"Yes","No")</f>
        <v>No</v>
      </c>
      <c r="T43" s="11">
        <f>RANK(N43,$N$2:$N$301,0)+COUNTIF($N$2:N43,N43)-1</f>
        <v>193</v>
      </c>
    </row>
    <row r="44" spans="1:20" x14ac:dyDescent="0.3">
      <c r="A44" s="24" t="s">
        <v>150</v>
      </c>
      <c r="B44" s="24" t="s">
        <v>46</v>
      </c>
      <c r="C44" s="24" t="s">
        <v>59</v>
      </c>
      <c r="D44" s="25">
        <v>18.600000000000001</v>
      </c>
      <c r="E44" s="24">
        <v>86</v>
      </c>
      <c r="F44" s="24" t="s">
        <v>62</v>
      </c>
      <c r="G44" s="24" t="s">
        <v>67</v>
      </c>
      <c r="H44" s="24" t="s">
        <v>67</v>
      </c>
      <c r="I44" s="24">
        <v>70</v>
      </c>
      <c r="J44" s="24">
        <v>70</v>
      </c>
      <c r="K44" s="24">
        <v>78</v>
      </c>
      <c r="L44" s="24">
        <v>73</v>
      </c>
      <c r="M44" s="24">
        <v>60</v>
      </c>
      <c r="N44" s="26">
        <f t="shared" si="0"/>
        <v>70.2</v>
      </c>
      <c r="O44" s="11" t="str">
        <f>LOOKUP(N44,Settings!$A$10:$A$14,Settings!$B$10:$B$14)</f>
        <v>B</v>
      </c>
      <c r="P44" s="11" t="str">
        <f>IF(N44&gt;=Settings!$B$3,"Pass","Fail")</f>
        <v>Pass</v>
      </c>
      <c r="Q44" s="11" t="str">
        <f>LOOKUP(D44,Settings!$A$19:$A$23,Settings!$B$19:$B$23)</f>
        <v>15 to 19 hrs</v>
      </c>
      <c r="R44" s="11" t="str">
        <f>LOOKUP(E44,Settings!$A$28:$A$31,Settings!$B$28:$B$31)</f>
        <v>85 to 94%</v>
      </c>
      <c r="S44" s="11" t="str">
        <f>IF(OR(N44&lt;Settings!$B$4,E44&lt;Settings!$B$5),"Yes","No")</f>
        <v>No</v>
      </c>
      <c r="T44" s="11">
        <f>RANK(N44,$N$2:$N$301,0)+COUNTIF($N$2:N44,N44)-1</f>
        <v>59</v>
      </c>
    </row>
    <row r="45" spans="1:20" x14ac:dyDescent="0.3">
      <c r="A45" s="24" t="s">
        <v>151</v>
      </c>
      <c r="B45" s="24" t="s">
        <v>45</v>
      </c>
      <c r="C45" s="24" t="s">
        <v>58</v>
      </c>
      <c r="D45" s="25">
        <v>13.7</v>
      </c>
      <c r="E45" s="24">
        <v>83</v>
      </c>
      <c r="F45" s="24" t="s">
        <v>62</v>
      </c>
      <c r="G45" s="24" t="s">
        <v>67</v>
      </c>
      <c r="H45" s="24" t="s">
        <v>67</v>
      </c>
      <c r="I45" s="24">
        <v>62</v>
      </c>
      <c r="J45" s="24">
        <v>76</v>
      </c>
      <c r="K45" s="24">
        <v>57</v>
      </c>
      <c r="L45" s="24">
        <v>74</v>
      </c>
      <c r="M45" s="24">
        <v>75</v>
      </c>
      <c r="N45" s="26">
        <f t="shared" si="0"/>
        <v>68.8</v>
      </c>
      <c r="O45" s="11" t="str">
        <f>LOOKUP(N45,Settings!$A$10:$A$14,Settings!$B$10:$B$14)</f>
        <v>C</v>
      </c>
      <c r="P45" s="11" t="str">
        <f>IF(N45&gt;=Settings!$B$3,"Pass","Fail")</f>
        <v>Pass</v>
      </c>
      <c r="Q45" s="11" t="str">
        <f>LOOKUP(D45,Settings!$A$19:$A$23,Settings!$B$19:$B$23)</f>
        <v>10 to 14 hrs</v>
      </c>
      <c r="R45" s="11" t="str">
        <f>LOOKUP(E45,Settings!$A$28:$A$31,Settings!$B$28:$B$31)</f>
        <v>75 to 84%</v>
      </c>
      <c r="S45" s="11" t="str">
        <f>IF(OR(N45&lt;Settings!$B$4,E45&lt;Settings!$B$5),"Yes","No")</f>
        <v>No</v>
      </c>
      <c r="T45" s="11">
        <f>RANK(N45,$N$2:$N$301,0)+COUNTIF($N$2:N45,N45)-1</f>
        <v>67</v>
      </c>
    </row>
    <row r="46" spans="1:20" x14ac:dyDescent="0.3">
      <c r="A46" s="24" t="s">
        <v>152</v>
      </c>
      <c r="B46" s="24" t="s">
        <v>46</v>
      </c>
      <c r="C46" s="24" t="s">
        <v>59</v>
      </c>
      <c r="D46" s="25">
        <v>10.9</v>
      </c>
      <c r="E46" s="24">
        <v>86</v>
      </c>
      <c r="F46" s="24" t="s">
        <v>63</v>
      </c>
      <c r="G46" s="24" t="s">
        <v>67</v>
      </c>
      <c r="H46" s="24" t="s">
        <v>67</v>
      </c>
      <c r="I46" s="24">
        <v>58</v>
      </c>
      <c r="J46" s="24">
        <v>61</v>
      </c>
      <c r="K46" s="24">
        <v>59</v>
      </c>
      <c r="L46" s="24">
        <v>80</v>
      </c>
      <c r="M46" s="24">
        <v>63</v>
      </c>
      <c r="N46" s="26">
        <f t="shared" si="0"/>
        <v>64.2</v>
      </c>
      <c r="O46" s="11" t="str">
        <f>LOOKUP(N46,Settings!$A$10:$A$14,Settings!$B$10:$B$14)</f>
        <v>C</v>
      </c>
      <c r="P46" s="11" t="str">
        <f>IF(N46&gt;=Settings!$B$3,"Pass","Fail")</f>
        <v>Pass</v>
      </c>
      <c r="Q46" s="11" t="str">
        <f>LOOKUP(D46,Settings!$A$19:$A$23,Settings!$B$19:$B$23)</f>
        <v>10 to 14 hrs</v>
      </c>
      <c r="R46" s="11" t="str">
        <f>LOOKUP(E46,Settings!$A$28:$A$31,Settings!$B$28:$B$31)</f>
        <v>85 to 94%</v>
      </c>
      <c r="S46" s="11" t="str">
        <f>IF(OR(N46&lt;Settings!$B$4,E46&lt;Settings!$B$5),"Yes","No")</f>
        <v>No</v>
      </c>
      <c r="T46" s="11">
        <f>RANK(N46,$N$2:$N$301,0)+COUNTIF($N$2:N46,N46)-1</f>
        <v>127</v>
      </c>
    </row>
    <row r="47" spans="1:20" x14ac:dyDescent="0.3">
      <c r="A47" s="24" t="s">
        <v>153</v>
      </c>
      <c r="B47" s="24" t="s">
        <v>46</v>
      </c>
      <c r="C47" s="24" t="s">
        <v>59</v>
      </c>
      <c r="D47" s="25">
        <v>14.5</v>
      </c>
      <c r="E47" s="24">
        <v>71</v>
      </c>
      <c r="F47" s="24" t="s">
        <v>64</v>
      </c>
      <c r="G47" s="24" t="s">
        <v>67</v>
      </c>
      <c r="H47" s="24" t="s">
        <v>67</v>
      </c>
      <c r="I47" s="24">
        <v>55</v>
      </c>
      <c r="J47" s="24">
        <v>60</v>
      </c>
      <c r="K47" s="24">
        <v>60</v>
      </c>
      <c r="L47" s="24">
        <v>66</v>
      </c>
      <c r="M47" s="24">
        <v>69</v>
      </c>
      <c r="N47" s="26">
        <f t="shared" si="0"/>
        <v>62</v>
      </c>
      <c r="O47" s="11" t="str">
        <f>LOOKUP(N47,Settings!$A$10:$A$14,Settings!$B$10:$B$14)</f>
        <v>C</v>
      </c>
      <c r="P47" s="11" t="str">
        <f>IF(N47&gt;=Settings!$B$3,"Pass","Fail")</f>
        <v>Pass</v>
      </c>
      <c r="Q47" s="11" t="str">
        <f>LOOKUP(D47,Settings!$A$19:$A$23,Settings!$B$19:$B$23)</f>
        <v>10 to 14 hrs</v>
      </c>
      <c r="R47" s="11" t="str">
        <f>LOOKUP(E47,Settings!$A$28:$A$31,Settings!$B$28:$B$31)</f>
        <v>Below 75%</v>
      </c>
      <c r="S47" s="11" t="str">
        <f>IF(OR(N47&lt;Settings!$B$4,E47&lt;Settings!$B$5),"Yes","No")</f>
        <v>Yes</v>
      </c>
      <c r="T47" s="11">
        <f>RANK(N47,$N$2:$N$301,0)+COUNTIF($N$2:N47,N47)-1</f>
        <v>151</v>
      </c>
    </row>
    <row r="48" spans="1:20" x14ac:dyDescent="0.3">
      <c r="A48" s="24" t="s">
        <v>154</v>
      </c>
      <c r="B48" s="24" t="s">
        <v>45</v>
      </c>
      <c r="C48" s="24" t="s">
        <v>59</v>
      </c>
      <c r="D48" s="25">
        <v>1.5</v>
      </c>
      <c r="E48" s="24">
        <v>87</v>
      </c>
      <c r="F48" s="24" t="s">
        <v>62</v>
      </c>
      <c r="G48" s="24" t="s">
        <v>68</v>
      </c>
      <c r="H48" s="24" t="s">
        <v>68</v>
      </c>
      <c r="I48" s="24">
        <v>52</v>
      </c>
      <c r="J48" s="24">
        <v>56</v>
      </c>
      <c r="K48" s="24">
        <v>39</v>
      </c>
      <c r="L48" s="24">
        <v>56</v>
      </c>
      <c r="M48" s="24">
        <v>40</v>
      </c>
      <c r="N48" s="26">
        <f t="shared" si="0"/>
        <v>48.6</v>
      </c>
      <c r="O48" s="11" t="str">
        <f>LOOKUP(N48,Settings!$A$10:$A$14,Settings!$B$10:$B$14)</f>
        <v>F</v>
      </c>
      <c r="P48" s="11" t="str">
        <f>IF(N48&gt;=Settings!$B$3,"Pass","Fail")</f>
        <v>Fail</v>
      </c>
      <c r="Q48" s="11" t="str">
        <f>LOOKUP(D48,Settings!$A$19:$A$23,Settings!$B$19:$B$23)</f>
        <v>0 to 4 hrs</v>
      </c>
      <c r="R48" s="11" t="str">
        <f>LOOKUP(E48,Settings!$A$28:$A$31,Settings!$B$28:$B$31)</f>
        <v>85 to 94%</v>
      </c>
      <c r="S48" s="11" t="str">
        <f>IF(OR(N48&lt;Settings!$B$4,E48&lt;Settings!$B$5),"Yes","No")</f>
        <v>Yes</v>
      </c>
      <c r="T48" s="11">
        <f>RANK(N48,$N$2:$N$301,0)+COUNTIF($N$2:N48,N48)-1</f>
        <v>273</v>
      </c>
    </row>
    <row r="49" spans="1:20" x14ac:dyDescent="0.3">
      <c r="A49" s="24" t="s">
        <v>155</v>
      </c>
      <c r="B49" s="24" t="s">
        <v>45</v>
      </c>
      <c r="C49" s="24" t="s">
        <v>57</v>
      </c>
      <c r="D49" s="25">
        <v>11.8</v>
      </c>
      <c r="E49" s="24">
        <v>86</v>
      </c>
      <c r="F49" s="24" t="s">
        <v>63</v>
      </c>
      <c r="G49" s="24" t="s">
        <v>68</v>
      </c>
      <c r="H49" s="24" t="s">
        <v>67</v>
      </c>
      <c r="I49" s="24">
        <v>52</v>
      </c>
      <c r="J49" s="24">
        <v>40</v>
      </c>
      <c r="K49" s="24">
        <v>61</v>
      </c>
      <c r="L49" s="24">
        <v>61</v>
      </c>
      <c r="M49" s="24">
        <v>62</v>
      </c>
      <c r="N49" s="26">
        <f t="shared" si="0"/>
        <v>55.2</v>
      </c>
      <c r="O49" s="11" t="str">
        <f>LOOKUP(N49,Settings!$A$10:$A$14,Settings!$B$10:$B$14)</f>
        <v>D</v>
      </c>
      <c r="P49" s="11" t="str">
        <f>IF(N49&gt;=Settings!$B$3,"Pass","Fail")</f>
        <v>Pass</v>
      </c>
      <c r="Q49" s="11" t="str">
        <f>LOOKUP(D49,Settings!$A$19:$A$23,Settings!$B$19:$B$23)</f>
        <v>10 to 14 hrs</v>
      </c>
      <c r="R49" s="11" t="str">
        <f>LOOKUP(E49,Settings!$A$28:$A$31,Settings!$B$28:$B$31)</f>
        <v>85 to 94%</v>
      </c>
      <c r="S49" s="11" t="str">
        <f>IF(OR(N49&lt;Settings!$B$4,E49&lt;Settings!$B$5),"Yes","No")</f>
        <v>No</v>
      </c>
      <c r="T49" s="11">
        <f>RANK(N49,$N$2:$N$301,0)+COUNTIF($N$2:N49,N49)-1</f>
        <v>226</v>
      </c>
    </row>
    <row r="50" spans="1:20" x14ac:dyDescent="0.3">
      <c r="A50" s="24" t="s">
        <v>156</v>
      </c>
      <c r="B50" s="24" t="s">
        <v>46</v>
      </c>
      <c r="C50" s="24" t="s">
        <v>58</v>
      </c>
      <c r="D50" s="25">
        <v>22</v>
      </c>
      <c r="E50" s="24">
        <v>89</v>
      </c>
      <c r="F50" s="24" t="s">
        <v>63</v>
      </c>
      <c r="G50" s="24" t="s">
        <v>68</v>
      </c>
      <c r="H50" s="24" t="s">
        <v>68</v>
      </c>
      <c r="I50" s="24">
        <v>57</v>
      </c>
      <c r="J50" s="24">
        <v>70</v>
      </c>
      <c r="K50" s="24">
        <v>68</v>
      </c>
      <c r="L50" s="24">
        <v>64</v>
      </c>
      <c r="M50" s="24">
        <v>75</v>
      </c>
      <c r="N50" s="26">
        <f t="shared" si="0"/>
        <v>66.8</v>
      </c>
      <c r="O50" s="11" t="str">
        <f>LOOKUP(N50,Settings!$A$10:$A$14,Settings!$B$10:$B$14)</f>
        <v>C</v>
      </c>
      <c r="P50" s="11" t="str">
        <f>IF(N50&gt;=Settings!$B$3,"Pass","Fail")</f>
        <v>Pass</v>
      </c>
      <c r="Q50" s="11" t="str">
        <f>LOOKUP(D50,Settings!$A$19:$A$23,Settings!$B$19:$B$23)</f>
        <v>20+ hrs</v>
      </c>
      <c r="R50" s="11" t="str">
        <f>LOOKUP(E50,Settings!$A$28:$A$31,Settings!$B$28:$B$31)</f>
        <v>85 to 94%</v>
      </c>
      <c r="S50" s="11" t="str">
        <f>IF(OR(N50&lt;Settings!$B$4,E50&lt;Settings!$B$5),"Yes","No")</f>
        <v>No</v>
      </c>
      <c r="T50" s="11">
        <f>RANK(N50,$N$2:$N$301,0)+COUNTIF($N$2:N50,N50)-1</f>
        <v>95</v>
      </c>
    </row>
    <row r="51" spans="1:20" x14ac:dyDescent="0.3">
      <c r="A51" s="24" t="s">
        <v>157</v>
      </c>
      <c r="B51" s="24" t="s">
        <v>45</v>
      </c>
      <c r="C51" s="24" t="s">
        <v>57</v>
      </c>
      <c r="D51" s="25">
        <v>12.7</v>
      </c>
      <c r="E51" s="24">
        <v>94</v>
      </c>
      <c r="F51" s="24" t="s">
        <v>62</v>
      </c>
      <c r="G51" s="24" t="s">
        <v>67</v>
      </c>
      <c r="H51" s="24" t="s">
        <v>68</v>
      </c>
      <c r="I51" s="24">
        <v>61</v>
      </c>
      <c r="J51" s="24">
        <v>67</v>
      </c>
      <c r="K51" s="24">
        <v>69</v>
      </c>
      <c r="L51" s="24">
        <v>64</v>
      </c>
      <c r="M51" s="24">
        <v>64</v>
      </c>
      <c r="N51" s="26">
        <f t="shared" si="0"/>
        <v>65</v>
      </c>
      <c r="O51" s="11" t="str">
        <f>LOOKUP(N51,Settings!$A$10:$A$14,Settings!$B$10:$B$14)</f>
        <v>C</v>
      </c>
      <c r="P51" s="11" t="str">
        <f>IF(N51&gt;=Settings!$B$3,"Pass","Fail")</f>
        <v>Pass</v>
      </c>
      <c r="Q51" s="11" t="str">
        <f>LOOKUP(D51,Settings!$A$19:$A$23,Settings!$B$19:$B$23)</f>
        <v>10 to 14 hrs</v>
      </c>
      <c r="R51" s="11" t="str">
        <f>LOOKUP(E51,Settings!$A$28:$A$31,Settings!$B$28:$B$31)</f>
        <v>85 to 94%</v>
      </c>
      <c r="S51" s="11" t="str">
        <f>IF(OR(N51&lt;Settings!$B$4,E51&lt;Settings!$B$5),"Yes","No")</f>
        <v>No</v>
      </c>
      <c r="T51" s="11">
        <f>RANK(N51,$N$2:$N$301,0)+COUNTIF($N$2:N51,N51)-1</f>
        <v>114</v>
      </c>
    </row>
    <row r="52" spans="1:20" x14ac:dyDescent="0.3">
      <c r="A52" s="24" t="s">
        <v>158</v>
      </c>
      <c r="B52" s="24" t="s">
        <v>45</v>
      </c>
      <c r="C52" s="24" t="s">
        <v>58</v>
      </c>
      <c r="D52" s="25">
        <v>12.3</v>
      </c>
      <c r="E52" s="24">
        <v>70</v>
      </c>
      <c r="F52" s="24" t="s">
        <v>63</v>
      </c>
      <c r="G52" s="24" t="s">
        <v>67</v>
      </c>
      <c r="H52" s="24" t="s">
        <v>67</v>
      </c>
      <c r="I52" s="24">
        <v>54</v>
      </c>
      <c r="J52" s="24">
        <v>63</v>
      </c>
      <c r="K52" s="24">
        <v>75</v>
      </c>
      <c r="L52" s="24">
        <v>59</v>
      </c>
      <c r="M52" s="24">
        <v>64</v>
      </c>
      <c r="N52" s="26">
        <f t="shared" si="0"/>
        <v>63</v>
      </c>
      <c r="O52" s="11" t="str">
        <f>LOOKUP(N52,Settings!$A$10:$A$14,Settings!$B$10:$B$14)</f>
        <v>C</v>
      </c>
      <c r="P52" s="11" t="str">
        <f>IF(N52&gt;=Settings!$B$3,"Pass","Fail")</f>
        <v>Pass</v>
      </c>
      <c r="Q52" s="11" t="str">
        <f>LOOKUP(D52,Settings!$A$19:$A$23,Settings!$B$19:$B$23)</f>
        <v>10 to 14 hrs</v>
      </c>
      <c r="R52" s="11" t="str">
        <f>LOOKUP(E52,Settings!$A$28:$A$31,Settings!$B$28:$B$31)</f>
        <v>Below 75%</v>
      </c>
      <c r="S52" s="11" t="str">
        <f>IF(OR(N52&lt;Settings!$B$4,E52&lt;Settings!$B$5),"Yes","No")</f>
        <v>Yes</v>
      </c>
      <c r="T52" s="11">
        <f>RANK(N52,$N$2:$N$301,0)+COUNTIF($N$2:N52,N52)-1</f>
        <v>136</v>
      </c>
    </row>
    <row r="53" spans="1:20" x14ac:dyDescent="0.3">
      <c r="A53" s="24" t="s">
        <v>159</v>
      </c>
      <c r="B53" s="24" t="s">
        <v>45</v>
      </c>
      <c r="C53" s="24" t="s">
        <v>57</v>
      </c>
      <c r="D53" s="25">
        <v>14.7</v>
      </c>
      <c r="E53" s="24">
        <v>71</v>
      </c>
      <c r="F53" s="24" t="s">
        <v>64</v>
      </c>
      <c r="G53" s="24" t="s">
        <v>67</v>
      </c>
      <c r="H53" s="24" t="s">
        <v>67</v>
      </c>
      <c r="I53" s="24">
        <v>76</v>
      </c>
      <c r="J53" s="24">
        <v>75</v>
      </c>
      <c r="K53" s="24">
        <v>65</v>
      </c>
      <c r="L53" s="24">
        <v>73</v>
      </c>
      <c r="M53" s="24">
        <v>63</v>
      </c>
      <c r="N53" s="26">
        <f t="shared" si="0"/>
        <v>70.400000000000006</v>
      </c>
      <c r="O53" s="11" t="str">
        <f>LOOKUP(N53,Settings!$A$10:$A$14,Settings!$B$10:$B$14)</f>
        <v>B</v>
      </c>
      <c r="P53" s="11" t="str">
        <f>IF(N53&gt;=Settings!$B$3,"Pass","Fail")</f>
        <v>Pass</v>
      </c>
      <c r="Q53" s="11" t="str">
        <f>LOOKUP(D53,Settings!$A$19:$A$23,Settings!$B$19:$B$23)</f>
        <v>10 to 14 hrs</v>
      </c>
      <c r="R53" s="11" t="str">
        <f>LOOKUP(E53,Settings!$A$28:$A$31,Settings!$B$28:$B$31)</f>
        <v>Below 75%</v>
      </c>
      <c r="S53" s="11" t="str">
        <f>IF(OR(N53&lt;Settings!$B$4,E53&lt;Settings!$B$5),"Yes","No")</f>
        <v>Yes</v>
      </c>
      <c r="T53" s="11">
        <f>RANK(N53,$N$2:$N$301,0)+COUNTIF($N$2:N53,N53)-1</f>
        <v>55</v>
      </c>
    </row>
    <row r="54" spans="1:20" x14ac:dyDescent="0.3">
      <c r="A54" s="24" t="s">
        <v>160</v>
      </c>
      <c r="B54" s="24" t="s">
        <v>46</v>
      </c>
      <c r="C54" s="24" t="s">
        <v>58</v>
      </c>
      <c r="D54" s="25">
        <v>16.5</v>
      </c>
      <c r="E54" s="24">
        <v>90</v>
      </c>
      <c r="F54" s="24" t="s">
        <v>63</v>
      </c>
      <c r="G54" s="24" t="s">
        <v>67</v>
      </c>
      <c r="H54" s="24" t="s">
        <v>67</v>
      </c>
      <c r="I54" s="24">
        <v>67</v>
      </c>
      <c r="J54" s="24">
        <v>73</v>
      </c>
      <c r="K54" s="24">
        <v>73</v>
      </c>
      <c r="L54" s="24">
        <v>75</v>
      </c>
      <c r="M54" s="24">
        <v>73</v>
      </c>
      <c r="N54" s="26">
        <f t="shared" si="0"/>
        <v>72.2</v>
      </c>
      <c r="O54" s="11" t="str">
        <f>LOOKUP(N54,Settings!$A$10:$A$14,Settings!$B$10:$B$14)</f>
        <v>B</v>
      </c>
      <c r="P54" s="11" t="str">
        <f>IF(N54&gt;=Settings!$B$3,"Pass","Fail")</f>
        <v>Pass</v>
      </c>
      <c r="Q54" s="11" t="str">
        <f>LOOKUP(D54,Settings!$A$19:$A$23,Settings!$B$19:$B$23)</f>
        <v>15 to 19 hrs</v>
      </c>
      <c r="R54" s="11" t="str">
        <f>LOOKUP(E54,Settings!$A$28:$A$31,Settings!$B$28:$B$31)</f>
        <v>85 to 94%</v>
      </c>
      <c r="S54" s="11" t="str">
        <f>IF(OR(N54&lt;Settings!$B$4,E54&lt;Settings!$B$5),"Yes","No")</f>
        <v>No</v>
      </c>
      <c r="T54" s="11">
        <f>RANK(N54,$N$2:$N$301,0)+COUNTIF($N$2:N54,N54)-1</f>
        <v>36</v>
      </c>
    </row>
    <row r="55" spans="1:20" x14ac:dyDescent="0.3">
      <c r="A55" s="24" t="s">
        <v>161</v>
      </c>
      <c r="B55" s="24" t="s">
        <v>46</v>
      </c>
      <c r="C55" s="24" t="s">
        <v>58</v>
      </c>
      <c r="D55" s="25">
        <v>2</v>
      </c>
      <c r="E55" s="24">
        <v>83</v>
      </c>
      <c r="F55" s="24" t="s">
        <v>62</v>
      </c>
      <c r="G55" s="24" t="s">
        <v>67</v>
      </c>
      <c r="H55" s="24" t="s">
        <v>68</v>
      </c>
      <c r="I55" s="24">
        <v>41</v>
      </c>
      <c r="J55" s="24">
        <v>39</v>
      </c>
      <c r="K55" s="24">
        <v>48</v>
      </c>
      <c r="L55" s="24">
        <v>49</v>
      </c>
      <c r="M55" s="24">
        <v>46</v>
      </c>
      <c r="N55" s="26">
        <f t="shared" si="0"/>
        <v>44.6</v>
      </c>
      <c r="O55" s="11" t="str">
        <f>LOOKUP(N55,Settings!$A$10:$A$14,Settings!$B$10:$B$14)</f>
        <v>F</v>
      </c>
      <c r="P55" s="11" t="str">
        <f>IF(N55&gt;=Settings!$B$3,"Pass","Fail")</f>
        <v>Fail</v>
      </c>
      <c r="Q55" s="11" t="str">
        <f>LOOKUP(D55,Settings!$A$19:$A$23,Settings!$B$19:$B$23)</f>
        <v>0 to 4 hrs</v>
      </c>
      <c r="R55" s="11" t="str">
        <f>LOOKUP(E55,Settings!$A$28:$A$31,Settings!$B$28:$B$31)</f>
        <v>75 to 84%</v>
      </c>
      <c r="S55" s="11" t="str">
        <f>IF(OR(N55&lt;Settings!$B$4,E55&lt;Settings!$B$5),"Yes","No")</f>
        <v>Yes</v>
      </c>
      <c r="T55" s="11">
        <f>RANK(N55,$N$2:$N$301,0)+COUNTIF($N$2:N55,N55)-1</f>
        <v>289</v>
      </c>
    </row>
    <row r="56" spans="1:20" x14ac:dyDescent="0.3">
      <c r="A56" s="24" t="s">
        <v>162</v>
      </c>
      <c r="B56" s="24" t="s">
        <v>46</v>
      </c>
      <c r="C56" s="24" t="s">
        <v>58</v>
      </c>
      <c r="D56" s="25">
        <v>3.6</v>
      </c>
      <c r="E56" s="24">
        <v>85</v>
      </c>
      <c r="F56" s="24" t="s">
        <v>64</v>
      </c>
      <c r="G56" s="24" t="s">
        <v>68</v>
      </c>
      <c r="H56" s="24" t="s">
        <v>67</v>
      </c>
      <c r="I56" s="24">
        <v>63</v>
      </c>
      <c r="J56" s="24">
        <v>52</v>
      </c>
      <c r="K56" s="24">
        <v>61</v>
      </c>
      <c r="L56" s="24">
        <v>62</v>
      </c>
      <c r="M56" s="24">
        <v>44</v>
      </c>
      <c r="N56" s="26">
        <f t="shared" si="0"/>
        <v>56.4</v>
      </c>
      <c r="O56" s="11" t="str">
        <f>LOOKUP(N56,Settings!$A$10:$A$14,Settings!$B$10:$B$14)</f>
        <v>D</v>
      </c>
      <c r="P56" s="11" t="str">
        <f>IF(N56&gt;=Settings!$B$3,"Pass","Fail")</f>
        <v>Pass</v>
      </c>
      <c r="Q56" s="11" t="str">
        <f>LOOKUP(D56,Settings!$A$19:$A$23,Settings!$B$19:$B$23)</f>
        <v>0 to 4 hrs</v>
      </c>
      <c r="R56" s="11" t="str">
        <f>LOOKUP(E56,Settings!$A$28:$A$31,Settings!$B$28:$B$31)</f>
        <v>85 to 94%</v>
      </c>
      <c r="S56" s="11" t="str">
        <f>IF(OR(N56&lt;Settings!$B$4,E56&lt;Settings!$B$5),"Yes","No")</f>
        <v>No</v>
      </c>
      <c r="T56" s="11">
        <f>RANK(N56,$N$2:$N$301,0)+COUNTIF($N$2:N56,N56)-1</f>
        <v>211</v>
      </c>
    </row>
    <row r="57" spans="1:20" x14ac:dyDescent="0.3">
      <c r="A57" s="24" t="s">
        <v>163</v>
      </c>
      <c r="B57" s="24" t="s">
        <v>46</v>
      </c>
      <c r="C57" s="24" t="s">
        <v>58</v>
      </c>
      <c r="D57" s="25">
        <v>13.1</v>
      </c>
      <c r="E57" s="24">
        <v>83</v>
      </c>
      <c r="F57" s="24" t="s">
        <v>63</v>
      </c>
      <c r="G57" s="24" t="s">
        <v>68</v>
      </c>
      <c r="H57" s="24" t="s">
        <v>68</v>
      </c>
      <c r="I57" s="24">
        <v>69</v>
      </c>
      <c r="J57" s="24">
        <v>58</v>
      </c>
      <c r="K57" s="24">
        <v>55</v>
      </c>
      <c r="L57" s="24">
        <v>64</v>
      </c>
      <c r="M57" s="24">
        <v>64</v>
      </c>
      <c r="N57" s="26">
        <f t="shared" si="0"/>
        <v>62</v>
      </c>
      <c r="O57" s="11" t="str">
        <f>LOOKUP(N57,Settings!$A$10:$A$14,Settings!$B$10:$B$14)</f>
        <v>C</v>
      </c>
      <c r="P57" s="11" t="str">
        <f>IF(N57&gt;=Settings!$B$3,"Pass","Fail")</f>
        <v>Pass</v>
      </c>
      <c r="Q57" s="11" t="str">
        <f>LOOKUP(D57,Settings!$A$19:$A$23,Settings!$B$19:$B$23)</f>
        <v>10 to 14 hrs</v>
      </c>
      <c r="R57" s="11" t="str">
        <f>LOOKUP(E57,Settings!$A$28:$A$31,Settings!$B$28:$B$31)</f>
        <v>75 to 84%</v>
      </c>
      <c r="S57" s="11" t="str">
        <f>IF(OR(N57&lt;Settings!$B$4,E57&lt;Settings!$B$5),"Yes","No")</f>
        <v>No</v>
      </c>
      <c r="T57" s="11">
        <f>RANK(N57,$N$2:$N$301,0)+COUNTIF($N$2:N57,N57)-1</f>
        <v>152</v>
      </c>
    </row>
    <row r="58" spans="1:20" x14ac:dyDescent="0.3">
      <c r="A58" s="24" t="s">
        <v>164</v>
      </c>
      <c r="B58" s="24" t="s">
        <v>45</v>
      </c>
      <c r="C58" s="24" t="s">
        <v>59</v>
      </c>
      <c r="D58" s="25">
        <v>8.4</v>
      </c>
      <c r="E58" s="24">
        <v>90</v>
      </c>
      <c r="F58" s="24" t="s">
        <v>64</v>
      </c>
      <c r="G58" s="24" t="s">
        <v>68</v>
      </c>
      <c r="H58" s="24" t="s">
        <v>68</v>
      </c>
      <c r="I58" s="24">
        <v>54</v>
      </c>
      <c r="J58" s="24">
        <v>63</v>
      </c>
      <c r="K58" s="24">
        <v>55</v>
      </c>
      <c r="L58" s="24">
        <v>60</v>
      </c>
      <c r="M58" s="24">
        <v>65</v>
      </c>
      <c r="N58" s="26">
        <f t="shared" si="0"/>
        <v>59.4</v>
      </c>
      <c r="O58" s="11" t="str">
        <f>LOOKUP(N58,Settings!$A$10:$A$14,Settings!$B$10:$B$14)</f>
        <v>D</v>
      </c>
      <c r="P58" s="11" t="str">
        <f>IF(N58&gt;=Settings!$B$3,"Pass","Fail")</f>
        <v>Pass</v>
      </c>
      <c r="Q58" s="11" t="str">
        <f>LOOKUP(D58,Settings!$A$19:$A$23,Settings!$B$19:$B$23)</f>
        <v>5 to 9 hrs</v>
      </c>
      <c r="R58" s="11" t="str">
        <f>LOOKUP(E58,Settings!$A$28:$A$31,Settings!$B$28:$B$31)</f>
        <v>85 to 94%</v>
      </c>
      <c r="S58" s="11" t="str">
        <f>IF(OR(N58&lt;Settings!$B$4,E58&lt;Settings!$B$5),"Yes","No")</f>
        <v>No</v>
      </c>
      <c r="T58" s="11">
        <f>RANK(N58,$N$2:$N$301,0)+COUNTIF($N$2:N58,N58)-1</f>
        <v>185</v>
      </c>
    </row>
    <row r="59" spans="1:20" x14ac:dyDescent="0.3">
      <c r="A59" s="24" t="s">
        <v>165</v>
      </c>
      <c r="B59" s="24" t="s">
        <v>46</v>
      </c>
      <c r="C59" s="24" t="s">
        <v>59</v>
      </c>
      <c r="D59" s="25">
        <v>18.600000000000001</v>
      </c>
      <c r="E59" s="24">
        <v>95</v>
      </c>
      <c r="F59" s="24" t="s">
        <v>62</v>
      </c>
      <c r="G59" s="24" t="s">
        <v>67</v>
      </c>
      <c r="H59" s="24" t="s">
        <v>68</v>
      </c>
      <c r="I59" s="24">
        <v>71</v>
      </c>
      <c r="J59" s="24">
        <v>72</v>
      </c>
      <c r="K59" s="24">
        <v>79</v>
      </c>
      <c r="L59" s="24">
        <v>69</v>
      </c>
      <c r="M59" s="24">
        <v>70</v>
      </c>
      <c r="N59" s="26">
        <f t="shared" si="0"/>
        <v>72.2</v>
      </c>
      <c r="O59" s="11" t="str">
        <f>LOOKUP(N59,Settings!$A$10:$A$14,Settings!$B$10:$B$14)</f>
        <v>B</v>
      </c>
      <c r="P59" s="11" t="str">
        <f>IF(N59&gt;=Settings!$B$3,"Pass","Fail")</f>
        <v>Pass</v>
      </c>
      <c r="Q59" s="11" t="str">
        <f>LOOKUP(D59,Settings!$A$19:$A$23,Settings!$B$19:$B$23)</f>
        <v>15 to 19 hrs</v>
      </c>
      <c r="R59" s="11" t="str">
        <f>LOOKUP(E59,Settings!$A$28:$A$31,Settings!$B$28:$B$31)</f>
        <v>95 to 100%</v>
      </c>
      <c r="S59" s="11" t="str">
        <f>IF(OR(N59&lt;Settings!$B$4,E59&lt;Settings!$B$5),"Yes","No")</f>
        <v>No</v>
      </c>
      <c r="T59" s="11">
        <f>RANK(N59,$N$2:$N$301,0)+COUNTIF($N$2:N59,N59)-1</f>
        <v>37</v>
      </c>
    </row>
    <row r="60" spans="1:20" x14ac:dyDescent="0.3">
      <c r="A60" s="24" t="s">
        <v>166</v>
      </c>
      <c r="B60" s="24" t="s">
        <v>45</v>
      </c>
      <c r="C60" s="24" t="s">
        <v>58</v>
      </c>
      <c r="D60" s="25">
        <v>10.4</v>
      </c>
      <c r="E60" s="24">
        <v>89</v>
      </c>
      <c r="F60" s="24" t="s">
        <v>63</v>
      </c>
      <c r="G60" s="24" t="s">
        <v>67</v>
      </c>
      <c r="H60" s="24" t="s">
        <v>68</v>
      </c>
      <c r="I60" s="24">
        <v>65</v>
      </c>
      <c r="J60" s="24">
        <v>71</v>
      </c>
      <c r="K60" s="24">
        <v>64</v>
      </c>
      <c r="L60" s="24">
        <v>71</v>
      </c>
      <c r="M60" s="24">
        <v>64</v>
      </c>
      <c r="N60" s="26">
        <f t="shared" si="0"/>
        <v>67</v>
      </c>
      <c r="O60" s="11" t="str">
        <f>LOOKUP(N60,Settings!$A$10:$A$14,Settings!$B$10:$B$14)</f>
        <v>C</v>
      </c>
      <c r="P60" s="11" t="str">
        <f>IF(N60&gt;=Settings!$B$3,"Pass","Fail")</f>
        <v>Pass</v>
      </c>
      <c r="Q60" s="11" t="str">
        <f>LOOKUP(D60,Settings!$A$19:$A$23,Settings!$B$19:$B$23)</f>
        <v>10 to 14 hrs</v>
      </c>
      <c r="R60" s="11" t="str">
        <f>LOOKUP(E60,Settings!$A$28:$A$31,Settings!$B$28:$B$31)</f>
        <v>85 to 94%</v>
      </c>
      <c r="S60" s="11" t="str">
        <f>IF(OR(N60&lt;Settings!$B$4,E60&lt;Settings!$B$5),"Yes","No")</f>
        <v>No</v>
      </c>
      <c r="T60" s="11">
        <f>RANK(N60,$N$2:$N$301,0)+COUNTIF($N$2:N60,N60)-1</f>
        <v>90</v>
      </c>
    </row>
    <row r="61" spans="1:20" x14ac:dyDescent="0.3">
      <c r="A61" s="24" t="s">
        <v>167</v>
      </c>
      <c r="B61" s="24" t="s">
        <v>45</v>
      </c>
      <c r="C61" s="24" t="s">
        <v>58</v>
      </c>
      <c r="D61" s="25">
        <v>2.2999999999999998</v>
      </c>
      <c r="E61" s="24">
        <v>81</v>
      </c>
      <c r="F61" s="24" t="s">
        <v>63</v>
      </c>
      <c r="G61" s="24" t="s">
        <v>67</v>
      </c>
      <c r="H61" s="24" t="s">
        <v>68</v>
      </c>
      <c r="I61" s="24">
        <v>37</v>
      </c>
      <c r="J61" s="24">
        <v>48</v>
      </c>
      <c r="K61" s="24">
        <v>40</v>
      </c>
      <c r="L61" s="24">
        <v>58</v>
      </c>
      <c r="M61" s="24">
        <v>50</v>
      </c>
      <c r="N61" s="26">
        <f t="shared" si="0"/>
        <v>46.6</v>
      </c>
      <c r="O61" s="11" t="str">
        <f>LOOKUP(N61,Settings!$A$10:$A$14,Settings!$B$10:$B$14)</f>
        <v>F</v>
      </c>
      <c r="P61" s="11" t="str">
        <f>IF(N61&gt;=Settings!$B$3,"Pass","Fail")</f>
        <v>Fail</v>
      </c>
      <c r="Q61" s="11" t="str">
        <f>LOOKUP(D61,Settings!$A$19:$A$23,Settings!$B$19:$B$23)</f>
        <v>0 to 4 hrs</v>
      </c>
      <c r="R61" s="11" t="str">
        <f>LOOKUP(E61,Settings!$A$28:$A$31,Settings!$B$28:$B$31)</f>
        <v>75 to 84%</v>
      </c>
      <c r="S61" s="11" t="str">
        <f>IF(OR(N61&lt;Settings!$B$4,E61&lt;Settings!$B$5),"Yes","No")</f>
        <v>Yes</v>
      </c>
      <c r="T61" s="11">
        <f>RANK(N61,$N$2:$N$301,0)+COUNTIF($N$2:N61,N61)-1</f>
        <v>281</v>
      </c>
    </row>
    <row r="62" spans="1:20" x14ac:dyDescent="0.3">
      <c r="A62" s="24" t="s">
        <v>168</v>
      </c>
      <c r="B62" s="24" t="s">
        <v>46</v>
      </c>
      <c r="C62" s="24" t="s">
        <v>59</v>
      </c>
      <c r="D62" s="25">
        <v>5.7</v>
      </c>
      <c r="E62" s="24">
        <v>67</v>
      </c>
      <c r="F62" s="24" t="s">
        <v>62</v>
      </c>
      <c r="G62" s="24" t="s">
        <v>67</v>
      </c>
      <c r="H62" s="24" t="s">
        <v>67</v>
      </c>
      <c r="I62" s="24">
        <v>41</v>
      </c>
      <c r="J62" s="24">
        <v>50</v>
      </c>
      <c r="K62" s="24">
        <v>43</v>
      </c>
      <c r="L62" s="24">
        <v>41</v>
      </c>
      <c r="M62" s="24">
        <v>54</v>
      </c>
      <c r="N62" s="26">
        <f t="shared" si="0"/>
        <v>45.8</v>
      </c>
      <c r="O62" s="11" t="str">
        <f>LOOKUP(N62,Settings!$A$10:$A$14,Settings!$B$10:$B$14)</f>
        <v>F</v>
      </c>
      <c r="P62" s="11" t="str">
        <f>IF(N62&gt;=Settings!$B$3,"Pass","Fail")</f>
        <v>Fail</v>
      </c>
      <c r="Q62" s="11" t="str">
        <f>LOOKUP(D62,Settings!$A$19:$A$23,Settings!$B$19:$B$23)</f>
        <v>5 to 9 hrs</v>
      </c>
      <c r="R62" s="11" t="str">
        <f>LOOKUP(E62,Settings!$A$28:$A$31,Settings!$B$28:$B$31)</f>
        <v>Below 75%</v>
      </c>
      <c r="S62" s="11" t="str">
        <f>IF(OR(N62&lt;Settings!$B$4,E62&lt;Settings!$B$5),"Yes","No")</f>
        <v>Yes</v>
      </c>
      <c r="T62" s="11">
        <f>RANK(N62,$N$2:$N$301,0)+COUNTIF($N$2:N62,N62)-1</f>
        <v>284</v>
      </c>
    </row>
    <row r="63" spans="1:20" x14ac:dyDescent="0.3">
      <c r="A63" s="24" t="s">
        <v>169</v>
      </c>
      <c r="B63" s="24" t="s">
        <v>45</v>
      </c>
      <c r="C63" s="24" t="s">
        <v>57</v>
      </c>
      <c r="D63" s="25">
        <v>1</v>
      </c>
      <c r="E63" s="24">
        <v>89</v>
      </c>
      <c r="F63" s="24" t="s">
        <v>64</v>
      </c>
      <c r="G63" s="24" t="s">
        <v>67</v>
      </c>
      <c r="H63" s="24" t="s">
        <v>67</v>
      </c>
      <c r="I63" s="24">
        <v>51</v>
      </c>
      <c r="J63" s="24">
        <v>64</v>
      </c>
      <c r="K63" s="24">
        <v>62</v>
      </c>
      <c r="L63" s="24">
        <v>53</v>
      </c>
      <c r="M63" s="24">
        <v>49</v>
      </c>
      <c r="N63" s="26">
        <f t="shared" si="0"/>
        <v>55.8</v>
      </c>
      <c r="O63" s="11" t="str">
        <f>LOOKUP(N63,Settings!$A$10:$A$14,Settings!$B$10:$B$14)</f>
        <v>D</v>
      </c>
      <c r="P63" s="11" t="str">
        <f>IF(N63&gt;=Settings!$B$3,"Pass","Fail")</f>
        <v>Pass</v>
      </c>
      <c r="Q63" s="11" t="str">
        <f>LOOKUP(D63,Settings!$A$19:$A$23,Settings!$B$19:$B$23)</f>
        <v>0 to 4 hrs</v>
      </c>
      <c r="R63" s="11" t="str">
        <f>LOOKUP(E63,Settings!$A$28:$A$31,Settings!$B$28:$B$31)</f>
        <v>85 to 94%</v>
      </c>
      <c r="S63" s="11" t="str">
        <f>IF(OR(N63&lt;Settings!$B$4,E63&lt;Settings!$B$5),"Yes","No")</f>
        <v>No</v>
      </c>
      <c r="T63" s="11">
        <f>RANK(N63,$N$2:$N$301,0)+COUNTIF($N$2:N63,N63)-1</f>
        <v>218</v>
      </c>
    </row>
    <row r="64" spans="1:20" x14ac:dyDescent="0.3">
      <c r="A64" s="24" t="s">
        <v>170</v>
      </c>
      <c r="B64" s="24" t="s">
        <v>46</v>
      </c>
      <c r="C64" s="24" t="s">
        <v>57</v>
      </c>
      <c r="D64" s="25">
        <v>10.8</v>
      </c>
      <c r="E64" s="24">
        <v>95</v>
      </c>
      <c r="F64" s="24" t="s">
        <v>62</v>
      </c>
      <c r="G64" s="24" t="s">
        <v>67</v>
      </c>
      <c r="H64" s="24" t="s">
        <v>67</v>
      </c>
      <c r="I64" s="24">
        <v>70</v>
      </c>
      <c r="J64" s="24">
        <v>47</v>
      </c>
      <c r="K64" s="24">
        <v>61</v>
      </c>
      <c r="L64" s="24">
        <v>60</v>
      </c>
      <c r="M64" s="24">
        <v>55</v>
      </c>
      <c r="N64" s="26">
        <f t="shared" si="0"/>
        <v>58.6</v>
      </c>
      <c r="O64" s="11" t="str">
        <f>LOOKUP(N64,Settings!$A$10:$A$14,Settings!$B$10:$B$14)</f>
        <v>D</v>
      </c>
      <c r="P64" s="11" t="str">
        <f>IF(N64&gt;=Settings!$B$3,"Pass","Fail")</f>
        <v>Pass</v>
      </c>
      <c r="Q64" s="11" t="str">
        <f>LOOKUP(D64,Settings!$A$19:$A$23,Settings!$B$19:$B$23)</f>
        <v>10 to 14 hrs</v>
      </c>
      <c r="R64" s="11" t="str">
        <f>LOOKUP(E64,Settings!$A$28:$A$31,Settings!$B$28:$B$31)</f>
        <v>95 to 100%</v>
      </c>
      <c r="S64" s="11" t="str">
        <f>IF(OR(N64&lt;Settings!$B$4,E64&lt;Settings!$B$5),"Yes","No")</f>
        <v>No</v>
      </c>
      <c r="T64" s="11">
        <f>RANK(N64,$N$2:$N$301,0)+COUNTIF($N$2:N64,N64)-1</f>
        <v>192</v>
      </c>
    </row>
    <row r="65" spans="1:20" x14ac:dyDescent="0.3">
      <c r="A65" s="24" t="s">
        <v>171</v>
      </c>
      <c r="B65" s="24" t="s">
        <v>46</v>
      </c>
      <c r="C65" s="24" t="s">
        <v>57</v>
      </c>
      <c r="D65" s="25">
        <v>11.1</v>
      </c>
      <c r="E65" s="24">
        <v>91</v>
      </c>
      <c r="F65" s="24" t="s">
        <v>62</v>
      </c>
      <c r="G65" s="24" t="s">
        <v>67</v>
      </c>
      <c r="H65" s="24" t="s">
        <v>68</v>
      </c>
      <c r="I65" s="24">
        <v>61</v>
      </c>
      <c r="J65" s="24">
        <v>61</v>
      </c>
      <c r="K65" s="24">
        <v>57</v>
      </c>
      <c r="L65" s="24">
        <v>67</v>
      </c>
      <c r="M65" s="24">
        <v>69</v>
      </c>
      <c r="N65" s="26">
        <f t="shared" si="0"/>
        <v>63</v>
      </c>
      <c r="O65" s="11" t="str">
        <f>LOOKUP(N65,Settings!$A$10:$A$14,Settings!$B$10:$B$14)</f>
        <v>C</v>
      </c>
      <c r="P65" s="11" t="str">
        <f>IF(N65&gt;=Settings!$B$3,"Pass","Fail")</f>
        <v>Pass</v>
      </c>
      <c r="Q65" s="11" t="str">
        <f>LOOKUP(D65,Settings!$A$19:$A$23,Settings!$B$19:$B$23)</f>
        <v>10 to 14 hrs</v>
      </c>
      <c r="R65" s="11" t="str">
        <f>LOOKUP(E65,Settings!$A$28:$A$31,Settings!$B$28:$B$31)</f>
        <v>85 to 94%</v>
      </c>
      <c r="S65" s="11" t="str">
        <f>IF(OR(N65&lt;Settings!$B$4,E65&lt;Settings!$B$5),"Yes","No")</f>
        <v>No</v>
      </c>
      <c r="T65" s="11">
        <f>RANK(N65,$N$2:$N$301,0)+COUNTIF($N$2:N65,N65)-1</f>
        <v>137</v>
      </c>
    </row>
    <row r="66" spans="1:20" x14ac:dyDescent="0.3">
      <c r="A66" s="24" t="s">
        <v>172</v>
      </c>
      <c r="B66" s="24" t="s">
        <v>46</v>
      </c>
      <c r="C66" s="24" t="s">
        <v>58</v>
      </c>
      <c r="D66" s="25">
        <v>9.9</v>
      </c>
      <c r="E66" s="24">
        <v>78</v>
      </c>
      <c r="F66" s="24" t="s">
        <v>63</v>
      </c>
      <c r="G66" s="24" t="s">
        <v>68</v>
      </c>
      <c r="H66" s="24" t="s">
        <v>68</v>
      </c>
      <c r="I66" s="24">
        <v>57</v>
      </c>
      <c r="J66" s="24">
        <v>49</v>
      </c>
      <c r="K66" s="24">
        <v>53</v>
      </c>
      <c r="L66" s="24">
        <v>60</v>
      </c>
      <c r="M66" s="24">
        <v>54</v>
      </c>
      <c r="N66" s="26">
        <f t="shared" ref="N66:N129" si="1">ROUND(AVERAGE(I66:M66),1)</f>
        <v>54.6</v>
      </c>
      <c r="O66" s="11" t="str">
        <f>LOOKUP(N66,Settings!$A$10:$A$14,Settings!$B$10:$B$14)</f>
        <v>D</v>
      </c>
      <c r="P66" s="11" t="str">
        <f>IF(N66&gt;=Settings!$B$3,"Pass","Fail")</f>
        <v>Pass</v>
      </c>
      <c r="Q66" s="11" t="str">
        <f>LOOKUP(D66,Settings!$A$19:$A$23,Settings!$B$19:$B$23)</f>
        <v>5 to 9 hrs</v>
      </c>
      <c r="R66" s="11" t="str">
        <f>LOOKUP(E66,Settings!$A$28:$A$31,Settings!$B$28:$B$31)</f>
        <v>75 to 84%</v>
      </c>
      <c r="S66" s="11" t="str">
        <f>IF(OR(N66&lt;Settings!$B$4,E66&lt;Settings!$B$5),"Yes","No")</f>
        <v>Yes</v>
      </c>
      <c r="T66" s="11">
        <f>RANK(N66,$N$2:$N$301,0)+COUNTIF($N$2:N66,N66)-1</f>
        <v>230</v>
      </c>
    </row>
    <row r="67" spans="1:20" x14ac:dyDescent="0.3">
      <c r="A67" s="24" t="s">
        <v>173</v>
      </c>
      <c r="B67" s="24" t="s">
        <v>46</v>
      </c>
      <c r="C67" s="24" t="s">
        <v>58</v>
      </c>
      <c r="D67" s="25">
        <v>17.399999999999999</v>
      </c>
      <c r="E67" s="24">
        <v>93</v>
      </c>
      <c r="F67" s="24" t="s">
        <v>63</v>
      </c>
      <c r="G67" s="24" t="s">
        <v>67</v>
      </c>
      <c r="H67" s="24" t="s">
        <v>68</v>
      </c>
      <c r="I67" s="24">
        <v>82</v>
      </c>
      <c r="J67" s="24">
        <v>69</v>
      </c>
      <c r="K67" s="24">
        <v>73</v>
      </c>
      <c r="L67" s="24">
        <v>75</v>
      </c>
      <c r="M67" s="24">
        <v>86</v>
      </c>
      <c r="N67" s="26">
        <f t="shared" si="1"/>
        <v>77</v>
      </c>
      <c r="O67" s="11" t="str">
        <f>LOOKUP(N67,Settings!$A$10:$A$14,Settings!$B$10:$B$14)</f>
        <v>B</v>
      </c>
      <c r="P67" s="11" t="str">
        <f>IF(N67&gt;=Settings!$B$3,"Pass","Fail")</f>
        <v>Pass</v>
      </c>
      <c r="Q67" s="11" t="str">
        <f>LOOKUP(D67,Settings!$A$19:$A$23,Settings!$B$19:$B$23)</f>
        <v>15 to 19 hrs</v>
      </c>
      <c r="R67" s="11" t="str">
        <f>LOOKUP(E67,Settings!$A$28:$A$31,Settings!$B$28:$B$31)</f>
        <v>85 to 94%</v>
      </c>
      <c r="S67" s="11" t="str">
        <f>IF(OR(N67&lt;Settings!$B$4,E67&lt;Settings!$B$5),"Yes","No")</f>
        <v>No</v>
      </c>
      <c r="T67" s="11">
        <f>RANK(N67,$N$2:$N$301,0)+COUNTIF($N$2:N67,N67)-1</f>
        <v>17</v>
      </c>
    </row>
    <row r="68" spans="1:20" x14ac:dyDescent="0.3">
      <c r="A68" s="24" t="s">
        <v>174</v>
      </c>
      <c r="B68" s="24" t="s">
        <v>46</v>
      </c>
      <c r="C68" s="24" t="s">
        <v>59</v>
      </c>
      <c r="D68" s="25">
        <v>18</v>
      </c>
      <c r="E68" s="24">
        <v>95</v>
      </c>
      <c r="F68" s="24" t="s">
        <v>64</v>
      </c>
      <c r="G68" s="24" t="s">
        <v>68</v>
      </c>
      <c r="H68" s="24" t="s">
        <v>67</v>
      </c>
      <c r="I68" s="24">
        <v>100</v>
      </c>
      <c r="J68" s="24">
        <v>78</v>
      </c>
      <c r="K68" s="24">
        <v>90</v>
      </c>
      <c r="L68" s="24">
        <v>89</v>
      </c>
      <c r="M68" s="24">
        <v>86</v>
      </c>
      <c r="N68" s="26">
        <f t="shared" si="1"/>
        <v>88.6</v>
      </c>
      <c r="O68" s="11" t="str">
        <f>LOOKUP(N68,Settings!$A$10:$A$14,Settings!$B$10:$B$14)</f>
        <v>A</v>
      </c>
      <c r="P68" s="11" t="str">
        <f>IF(N68&gt;=Settings!$B$3,"Pass","Fail")</f>
        <v>Pass</v>
      </c>
      <c r="Q68" s="11" t="str">
        <f>LOOKUP(D68,Settings!$A$19:$A$23,Settings!$B$19:$B$23)</f>
        <v>15 to 19 hrs</v>
      </c>
      <c r="R68" s="11" t="str">
        <f>LOOKUP(E68,Settings!$A$28:$A$31,Settings!$B$28:$B$31)</f>
        <v>95 to 100%</v>
      </c>
      <c r="S68" s="11" t="str">
        <f>IF(OR(N68&lt;Settings!$B$4,E68&lt;Settings!$B$5),"Yes","No")</f>
        <v>No</v>
      </c>
      <c r="T68" s="11">
        <f>RANK(N68,$N$2:$N$301,0)+COUNTIF($N$2:N68,N68)-1</f>
        <v>1</v>
      </c>
    </row>
    <row r="69" spans="1:20" x14ac:dyDescent="0.3">
      <c r="A69" s="24" t="s">
        <v>175</v>
      </c>
      <c r="B69" s="24" t="s">
        <v>45</v>
      </c>
      <c r="C69" s="24" t="s">
        <v>58</v>
      </c>
      <c r="D69" s="25">
        <v>11.1</v>
      </c>
      <c r="E69" s="24">
        <v>98</v>
      </c>
      <c r="F69" s="24" t="s">
        <v>64</v>
      </c>
      <c r="G69" s="24" t="s">
        <v>67</v>
      </c>
      <c r="H69" s="24" t="s">
        <v>68</v>
      </c>
      <c r="I69" s="24">
        <v>61</v>
      </c>
      <c r="J69" s="24">
        <v>67</v>
      </c>
      <c r="K69" s="24">
        <v>57</v>
      </c>
      <c r="L69" s="24">
        <v>68</v>
      </c>
      <c r="M69" s="24">
        <v>60</v>
      </c>
      <c r="N69" s="26">
        <f t="shared" si="1"/>
        <v>62.6</v>
      </c>
      <c r="O69" s="11" t="str">
        <f>LOOKUP(N69,Settings!$A$10:$A$14,Settings!$B$10:$B$14)</f>
        <v>C</v>
      </c>
      <c r="P69" s="11" t="str">
        <f>IF(N69&gt;=Settings!$B$3,"Pass","Fail")</f>
        <v>Pass</v>
      </c>
      <c r="Q69" s="11" t="str">
        <f>LOOKUP(D69,Settings!$A$19:$A$23,Settings!$B$19:$B$23)</f>
        <v>10 to 14 hrs</v>
      </c>
      <c r="R69" s="11" t="str">
        <f>LOOKUP(E69,Settings!$A$28:$A$31,Settings!$B$28:$B$31)</f>
        <v>95 to 100%</v>
      </c>
      <c r="S69" s="11" t="str">
        <f>IF(OR(N69&lt;Settings!$B$4,E69&lt;Settings!$B$5),"Yes","No")</f>
        <v>No</v>
      </c>
      <c r="T69" s="11">
        <f>RANK(N69,$N$2:$N$301,0)+COUNTIF($N$2:N69,N69)-1</f>
        <v>142</v>
      </c>
    </row>
    <row r="70" spans="1:20" x14ac:dyDescent="0.3">
      <c r="A70" s="24" t="s">
        <v>176</v>
      </c>
      <c r="B70" s="24" t="s">
        <v>45</v>
      </c>
      <c r="C70" s="24" t="s">
        <v>57</v>
      </c>
      <c r="D70" s="25">
        <v>1.3</v>
      </c>
      <c r="E70" s="24">
        <v>76</v>
      </c>
      <c r="F70" s="24" t="s">
        <v>62</v>
      </c>
      <c r="G70" s="24" t="s">
        <v>67</v>
      </c>
      <c r="H70" s="24" t="s">
        <v>68</v>
      </c>
      <c r="I70" s="24">
        <v>45</v>
      </c>
      <c r="J70" s="24">
        <v>59</v>
      </c>
      <c r="K70" s="24">
        <v>40</v>
      </c>
      <c r="L70" s="24">
        <v>43</v>
      </c>
      <c r="M70" s="24">
        <v>52</v>
      </c>
      <c r="N70" s="26">
        <f t="shared" si="1"/>
        <v>47.8</v>
      </c>
      <c r="O70" s="11" t="str">
        <f>LOOKUP(N70,Settings!$A$10:$A$14,Settings!$B$10:$B$14)</f>
        <v>F</v>
      </c>
      <c r="P70" s="11" t="str">
        <f>IF(N70&gt;=Settings!$B$3,"Pass","Fail")</f>
        <v>Fail</v>
      </c>
      <c r="Q70" s="11" t="str">
        <f>LOOKUP(D70,Settings!$A$19:$A$23,Settings!$B$19:$B$23)</f>
        <v>0 to 4 hrs</v>
      </c>
      <c r="R70" s="11" t="str">
        <f>LOOKUP(E70,Settings!$A$28:$A$31,Settings!$B$28:$B$31)</f>
        <v>75 to 84%</v>
      </c>
      <c r="S70" s="11" t="str">
        <f>IF(OR(N70&lt;Settings!$B$4,E70&lt;Settings!$B$5),"Yes","No")</f>
        <v>Yes</v>
      </c>
      <c r="T70" s="11">
        <f>RANK(N70,$N$2:$N$301,0)+COUNTIF($N$2:N70,N70)-1</f>
        <v>278</v>
      </c>
    </row>
    <row r="71" spans="1:20" x14ac:dyDescent="0.3">
      <c r="A71" s="24" t="s">
        <v>177</v>
      </c>
      <c r="B71" s="24" t="s">
        <v>45</v>
      </c>
      <c r="C71" s="24" t="s">
        <v>59</v>
      </c>
      <c r="D71" s="25">
        <v>15.1</v>
      </c>
      <c r="E71" s="24">
        <v>85</v>
      </c>
      <c r="F71" s="24" t="s">
        <v>63</v>
      </c>
      <c r="G71" s="24" t="s">
        <v>67</v>
      </c>
      <c r="H71" s="24" t="s">
        <v>68</v>
      </c>
      <c r="I71" s="24">
        <v>82</v>
      </c>
      <c r="J71" s="24">
        <v>67</v>
      </c>
      <c r="K71" s="24">
        <v>73</v>
      </c>
      <c r="L71" s="24">
        <v>72</v>
      </c>
      <c r="M71" s="24">
        <v>75</v>
      </c>
      <c r="N71" s="26">
        <f t="shared" si="1"/>
        <v>73.8</v>
      </c>
      <c r="O71" s="11" t="str">
        <f>LOOKUP(N71,Settings!$A$10:$A$14,Settings!$B$10:$B$14)</f>
        <v>B</v>
      </c>
      <c r="P71" s="11" t="str">
        <f>IF(N71&gt;=Settings!$B$3,"Pass","Fail")</f>
        <v>Pass</v>
      </c>
      <c r="Q71" s="11" t="str">
        <f>LOOKUP(D71,Settings!$A$19:$A$23,Settings!$B$19:$B$23)</f>
        <v>15 to 19 hrs</v>
      </c>
      <c r="R71" s="11" t="str">
        <f>LOOKUP(E71,Settings!$A$28:$A$31,Settings!$B$28:$B$31)</f>
        <v>85 to 94%</v>
      </c>
      <c r="S71" s="11" t="str">
        <f>IF(OR(N71&lt;Settings!$B$4,E71&lt;Settings!$B$5),"Yes","No")</f>
        <v>No</v>
      </c>
      <c r="T71" s="11">
        <f>RANK(N71,$N$2:$N$301,0)+COUNTIF($N$2:N71,N71)-1</f>
        <v>28</v>
      </c>
    </row>
    <row r="72" spans="1:20" x14ac:dyDescent="0.3">
      <c r="A72" s="24" t="s">
        <v>178</v>
      </c>
      <c r="B72" s="24" t="s">
        <v>45</v>
      </c>
      <c r="C72" s="24" t="s">
        <v>59</v>
      </c>
      <c r="D72" s="25">
        <v>14.8</v>
      </c>
      <c r="E72" s="24">
        <v>93</v>
      </c>
      <c r="F72" s="24" t="s">
        <v>62</v>
      </c>
      <c r="G72" s="24" t="s">
        <v>67</v>
      </c>
      <c r="H72" s="24" t="s">
        <v>68</v>
      </c>
      <c r="I72" s="24">
        <v>57</v>
      </c>
      <c r="J72" s="24">
        <v>62</v>
      </c>
      <c r="K72" s="24">
        <v>66</v>
      </c>
      <c r="L72" s="24">
        <v>69</v>
      </c>
      <c r="M72" s="24">
        <v>71</v>
      </c>
      <c r="N72" s="26">
        <f t="shared" si="1"/>
        <v>65</v>
      </c>
      <c r="O72" s="11" t="str">
        <f>LOOKUP(N72,Settings!$A$10:$A$14,Settings!$B$10:$B$14)</f>
        <v>C</v>
      </c>
      <c r="P72" s="11" t="str">
        <f>IF(N72&gt;=Settings!$B$3,"Pass","Fail")</f>
        <v>Pass</v>
      </c>
      <c r="Q72" s="11" t="str">
        <f>LOOKUP(D72,Settings!$A$19:$A$23,Settings!$B$19:$B$23)</f>
        <v>10 to 14 hrs</v>
      </c>
      <c r="R72" s="11" t="str">
        <f>LOOKUP(E72,Settings!$A$28:$A$31,Settings!$B$28:$B$31)</f>
        <v>85 to 94%</v>
      </c>
      <c r="S72" s="11" t="str">
        <f>IF(OR(N72&lt;Settings!$B$4,E72&lt;Settings!$B$5),"Yes","No")</f>
        <v>No</v>
      </c>
      <c r="T72" s="11">
        <f>RANK(N72,$N$2:$N$301,0)+COUNTIF($N$2:N72,N72)-1</f>
        <v>115</v>
      </c>
    </row>
    <row r="73" spans="1:20" x14ac:dyDescent="0.3">
      <c r="A73" s="24" t="s">
        <v>179</v>
      </c>
      <c r="B73" s="24" t="s">
        <v>45</v>
      </c>
      <c r="C73" s="24" t="s">
        <v>57</v>
      </c>
      <c r="D73" s="25">
        <v>13.5</v>
      </c>
      <c r="E73" s="24">
        <v>87</v>
      </c>
      <c r="F73" s="24" t="s">
        <v>63</v>
      </c>
      <c r="G73" s="24" t="s">
        <v>67</v>
      </c>
      <c r="H73" s="24" t="s">
        <v>67</v>
      </c>
      <c r="I73" s="24">
        <v>83</v>
      </c>
      <c r="J73" s="24">
        <v>72</v>
      </c>
      <c r="K73" s="24">
        <v>81</v>
      </c>
      <c r="L73" s="24">
        <v>79</v>
      </c>
      <c r="M73" s="24">
        <v>84</v>
      </c>
      <c r="N73" s="26">
        <f t="shared" si="1"/>
        <v>79.8</v>
      </c>
      <c r="O73" s="11" t="str">
        <f>LOOKUP(N73,Settings!$A$10:$A$14,Settings!$B$10:$B$14)</f>
        <v>B</v>
      </c>
      <c r="P73" s="11" t="str">
        <f>IF(N73&gt;=Settings!$B$3,"Pass","Fail")</f>
        <v>Pass</v>
      </c>
      <c r="Q73" s="11" t="str">
        <f>LOOKUP(D73,Settings!$A$19:$A$23,Settings!$B$19:$B$23)</f>
        <v>10 to 14 hrs</v>
      </c>
      <c r="R73" s="11" t="str">
        <f>LOOKUP(E73,Settings!$A$28:$A$31,Settings!$B$28:$B$31)</f>
        <v>85 to 94%</v>
      </c>
      <c r="S73" s="11" t="str">
        <f>IF(OR(N73&lt;Settings!$B$4,E73&lt;Settings!$B$5),"Yes","No")</f>
        <v>No</v>
      </c>
      <c r="T73" s="11">
        <f>RANK(N73,$N$2:$N$301,0)+COUNTIF($N$2:N73,N73)-1</f>
        <v>4</v>
      </c>
    </row>
    <row r="74" spans="1:20" x14ac:dyDescent="0.3">
      <c r="A74" s="24" t="s">
        <v>180</v>
      </c>
      <c r="B74" s="24" t="s">
        <v>46</v>
      </c>
      <c r="C74" s="24" t="s">
        <v>58</v>
      </c>
      <c r="D74" s="25">
        <v>16.899999999999999</v>
      </c>
      <c r="E74" s="24">
        <v>79</v>
      </c>
      <c r="F74" s="24" t="s">
        <v>64</v>
      </c>
      <c r="G74" s="24" t="s">
        <v>67</v>
      </c>
      <c r="H74" s="24" t="s">
        <v>67</v>
      </c>
      <c r="I74" s="24">
        <v>65</v>
      </c>
      <c r="J74" s="24">
        <v>78</v>
      </c>
      <c r="K74" s="24">
        <v>61</v>
      </c>
      <c r="L74" s="24">
        <v>58</v>
      </c>
      <c r="M74" s="24">
        <v>66</v>
      </c>
      <c r="N74" s="26">
        <f t="shared" si="1"/>
        <v>65.599999999999994</v>
      </c>
      <c r="O74" s="11" t="str">
        <f>LOOKUP(N74,Settings!$A$10:$A$14,Settings!$B$10:$B$14)</f>
        <v>C</v>
      </c>
      <c r="P74" s="11" t="str">
        <f>IF(N74&gt;=Settings!$B$3,"Pass","Fail")</f>
        <v>Pass</v>
      </c>
      <c r="Q74" s="11" t="str">
        <f>LOOKUP(D74,Settings!$A$19:$A$23,Settings!$B$19:$B$23)</f>
        <v>15 to 19 hrs</v>
      </c>
      <c r="R74" s="11" t="str">
        <f>LOOKUP(E74,Settings!$A$28:$A$31,Settings!$B$28:$B$31)</f>
        <v>75 to 84%</v>
      </c>
      <c r="S74" s="11" t="str">
        <f>IF(OR(N74&lt;Settings!$B$4,E74&lt;Settings!$B$5),"Yes","No")</f>
        <v>No</v>
      </c>
      <c r="T74" s="11">
        <f>RANK(N74,$N$2:$N$301,0)+COUNTIF($N$2:N74,N74)-1</f>
        <v>105</v>
      </c>
    </row>
    <row r="75" spans="1:20" x14ac:dyDescent="0.3">
      <c r="A75" s="24" t="s">
        <v>181</v>
      </c>
      <c r="B75" s="24" t="s">
        <v>45</v>
      </c>
      <c r="C75" s="24" t="s">
        <v>57</v>
      </c>
      <c r="D75" s="25">
        <v>6.2</v>
      </c>
      <c r="E75" s="24">
        <v>88</v>
      </c>
      <c r="F75" s="24" t="s">
        <v>63</v>
      </c>
      <c r="G75" s="24" t="s">
        <v>68</v>
      </c>
      <c r="H75" s="24" t="s">
        <v>68</v>
      </c>
      <c r="I75" s="24">
        <v>54</v>
      </c>
      <c r="J75" s="24">
        <v>54</v>
      </c>
      <c r="K75" s="24">
        <v>56</v>
      </c>
      <c r="L75" s="24">
        <v>53</v>
      </c>
      <c r="M75" s="24">
        <v>52</v>
      </c>
      <c r="N75" s="26">
        <f t="shared" si="1"/>
        <v>53.8</v>
      </c>
      <c r="O75" s="11" t="str">
        <f>LOOKUP(N75,Settings!$A$10:$A$14,Settings!$B$10:$B$14)</f>
        <v>D</v>
      </c>
      <c r="P75" s="11" t="str">
        <f>IF(N75&gt;=Settings!$B$3,"Pass","Fail")</f>
        <v>Pass</v>
      </c>
      <c r="Q75" s="11" t="str">
        <f>LOOKUP(D75,Settings!$A$19:$A$23,Settings!$B$19:$B$23)</f>
        <v>5 to 9 hrs</v>
      </c>
      <c r="R75" s="11" t="str">
        <f>LOOKUP(E75,Settings!$A$28:$A$31,Settings!$B$28:$B$31)</f>
        <v>85 to 94%</v>
      </c>
      <c r="S75" s="11" t="str">
        <f>IF(OR(N75&lt;Settings!$B$4,E75&lt;Settings!$B$5),"Yes","No")</f>
        <v>Yes</v>
      </c>
      <c r="T75" s="11">
        <f>RANK(N75,$N$2:$N$301,0)+COUNTIF($N$2:N75,N75)-1</f>
        <v>235</v>
      </c>
    </row>
    <row r="76" spans="1:20" x14ac:dyDescent="0.3">
      <c r="A76" s="24" t="s">
        <v>182</v>
      </c>
      <c r="B76" s="24" t="s">
        <v>45</v>
      </c>
      <c r="C76" s="24" t="s">
        <v>57</v>
      </c>
      <c r="D76" s="25">
        <v>22</v>
      </c>
      <c r="E76" s="24">
        <v>94</v>
      </c>
      <c r="F76" s="24" t="s">
        <v>63</v>
      </c>
      <c r="G76" s="24" t="s">
        <v>67</v>
      </c>
      <c r="H76" s="24" t="s">
        <v>67</v>
      </c>
      <c r="I76" s="24">
        <v>73</v>
      </c>
      <c r="J76" s="24">
        <v>78</v>
      </c>
      <c r="K76" s="24">
        <v>81</v>
      </c>
      <c r="L76" s="24">
        <v>77</v>
      </c>
      <c r="M76" s="24">
        <v>74</v>
      </c>
      <c r="N76" s="26">
        <f t="shared" si="1"/>
        <v>76.599999999999994</v>
      </c>
      <c r="O76" s="11" t="str">
        <f>LOOKUP(N76,Settings!$A$10:$A$14,Settings!$B$10:$B$14)</f>
        <v>B</v>
      </c>
      <c r="P76" s="11" t="str">
        <f>IF(N76&gt;=Settings!$B$3,"Pass","Fail")</f>
        <v>Pass</v>
      </c>
      <c r="Q76" s="11" t="str">
        <f>LOOKUP(D76,Settings!$A$19:$A$23,Settings!$B$19:$B$23)</f>
        <v>20+ hrs</v>
      </c>
      <c r="R76" s="11" t="str">
        <f>LOOKUP(E76,Settings!$A$28:$A$31,Settings!$B$28:$B$31)</f>
        <v>85 to 94%</v>
      </c>
      <c r="S76" s="11" t="str">
        <f>IF(OR(N76&lt;Settings!$B$4,E76&lt;Settings!$B$5),"Yes","No")</f>
        <v>No</v>
      </c>
      <c r="T76" s="11">
        <f>RANK(N76,$N$2:$N$301,0)+COUNTIF($N$2:N76,N76)-1</f>
        <v>19</v>
      </c>
    </row>
    <row r="77" spans="1:20" x14ac:dyDescent="0.3">
      <c r="A77" s="24" t="s">
        <v>183</v>
      </c>
      <c r="B77" s="24" t="s">
        <v>45</v>
      </c>
      <c r="C77" s="24" t="s">
        <v>57</v>
      </c>
      <c r="D77" s="25">
        <v>7.2</v>
      </c>
      <c r="E77" s="24">
        <v>85</v>
      </c>
      <c r="F77" s="24" t="s">
        <v>63</v>
      </c>
      <c r="G77" s="24" t="s">
        <v>67</v>
      </c>
      <c r="H77" s="24" t="s">
        <v>67</v>
      </c>
      <c r="I77" s="24">
        <v>49</v>
      </c>
      <c r="J77" s="24">
        <v>55</v>
      </c>
      <c r="K77" s="24">
        <v>58</v>
      </c>
      <c r="L77" s="24">
        <v>55</v>
      </c>
      <c r="M77" s="24">
        <v>47</v>
      </c>
      <c r="N77" s="26">
        <f t="shared" si="1"/>
        <v>52.8</v>
      </c>
      <c r="O77" s="11" t="str">
        <f>LOOKUP(N77,Settings!$A$10:$A$14,Settings!$B$10:$B$14)</f>
        <v>D</v>
      </c>
      <c r="P77" s="11" t="str">
        <f>IF(N77&gt;=Settings!$B$3,"Pass","Fail")</f>
        <v>Pass</v>
      </c>
      <c r="Q77" s="11" t="str">
        <f>LOOKUP(D77,Settings!$A$19:$A$23,Settings!$B$19:$B$23)</f>
        <v>5 to 9 hrs</v>
      </c>
      <c r="R77" s="11" t="str">
        <f>LOOKUP(E77,Settings!$A$28:$A$31,Settings!$B$28:$B$31)</f>
        <v>85 to 94%</v>
      </c>
      <c r="S77" s="11" t="str">
        <f>IF(OR(N77&lt;Settings!$B$4,E77&lt;Settings!$B$5),"Yes","No")</f>
        <v>Yes</v>
      </c>
      <c r="T77" s="11">
        <f>RANK(N77,$N$2:$N$301,0)+COUNTIF($N$2:N77,N77)-1</f>
        <v>245</v>
      </c>
    </row>
    <row r="78" spans="1:20" x14ac:dyDescent="0.3">
      <c r="A78" s="24" t="s">
        <v>184</v>
      </c>
      <c r="B78" s="24" t="s">
        <v>45</v>
      </c>
      <c r="C78" s="24" t="s">
        <v>59</v>
      </c>
      <c r="D78" s="25">
        <v>15.7</v>
      </c>
      <c r="E78" s="24">
        <v>89</v>
      </c>
      <c r="F78" s="24" t="s">
        <v>64</v>
      </c>
      <c r="G78" s="24" t="s">
        <v>67</v>
      </c>
      <c r="H78" s="24" t="s">
        <v>67</v>
      </c>
      <c r="I78" s="24">
        <v>67</v>
      </c>
      <c r="J78" s="24">
        <v>70</v>
      </c>
      <c r="K78" s="24">
        <v>74</v>
      </c>
      <c r="L78" s="24">
        <v>74</v>
      </c>
      <c r="M78" s="24">
        <v>72</v>
      </c>
      <c r="N78" s="26">
        <f t="shared" si="1"/>
        <v>71.400000000000006</v>
      </c>
      <c r="O78" s="11" t="str">
        <f>LOOKUP(N78,Settings!$A$10:$A$14,Settings!$B$10:$B$14)</f>
        <v>B</v>
      </c>
      <c r="P78" s="11" t="str">
        <f>IF(N78&gt;=Settings!$B$3,"Pass","Fail")</f>
        <v>Pass</v>
      </c>
      <c r="Q78" s="11" t="str">
        <f>LOOKUP(D78,Settings!$A$19:$A$23,Settings!$B$19:$B$23)</f>
        <v>15 to 19 hrs</v>
      </c>
      <c r="R78" s="11" t="str">
        <f>LOOKUP(E78,Settings!$A$28:$A$31,Settings!$B$28:$B$31)</f>
        <v>85 to 94%</v>
      </c>
      <c r="S78" s="11" t="str">
        <f>IF(OR(N78&lt;Settings!$B$4,E78&lt;Settings!$B$5),"Yes","No")</f>
        <v>No</v>
      </c>
      <c r="T78" s="11">
        <f>RANK(N78,$N$2:$N$301,0)+COUNTIF($N$2:N78,N78)-1</f>
        <v>41</v>
      </c>
    </row>
    <row r="79" spans="1:20" x14ac:dyDescent="0.3">
      <c r="A79" s="24" t="s">
        <v>185</v>
      </c>
      <c r="B79" s="24" t="s">
        <v>46</v>
      </c>
      <c r="C79" s="24" t="s">
        <v>58</v>
      </c>
      <c r="D79" s="25">
        <v>3.6</v>
      </c>
      <c r="E79" s="24">
        <v>81</v>
      </c>
      <c r="F79" s="24" t="s">
        <v>63</v>
      </c>
      <c r="G79" s="24" t="s">
        <v>67</v>
      </c>
      <c r="H79" s="24" t="s">
        <v>67</v>
      </c>
      <c r="I79" s="24">
        <v>59</v>
      </c>
      <c r="J79" s="24">
        <v>52</v>
      </c>
      <c r="K79" s="24">
        <v>55</v>
      </c>
      <c r="L79" s="24">
        <v>59</v>
      </c>
      <c r="M79" s="24">
        <v>65</v>
      </c>
      <c r="N79" s="26">
        <f t="shared" si="1"/>
        <v>58</v>
      </c>
      <c r="O79" s="11" t="str">
        <f>LOOKUP(N79,Settings!$A$10:$A$14,Settings!$B$10:$B$14)</f>
        <v>D</v>
      </c>
      <c r="P79" s="11" t="str">
        <f>IF(N79&gt;=Settings!$B$3,"Pass","Fail")</f>
        <v>Pass</v>
      </c>
      <c r="Q79" s="11" t="str">
        <f>LOOKUP(D79,Settings!$A$19:$A$23,Settings!$B$19:$B$23)</f>
        <v>0 to 4 hrs</v>
      </c>
      <c r="R79" s="11" t="str">
        <f>LOOKUP(E79,Settings!$A$28:$A$31,Settings!$B$28:$B$31)</f>
        <v>75 to 84%</v>
      </c>
      <c r="S79" s="11" t="str">
        <f>IF(OR(N79&lt;Settings!$B$4,E79&lt;Settings!$B$5),"Yes","No")</f>
        <v>No</v>
      </c>
      <c r="T79" s="11">
        <f>RANK(N79,$N$2:$N$301,0)+COUNTIF($N$2:N79,N79)-1</f>
        <v>195</v>
      </c>
    </row>
    <row r="80" spans="1:20" x14ac:dyDescent="0.3">
      <c r="A80" s="24" t="s">
        <v>186</v>
      </c>
      <c r="B80" s="24" t="s">
        <v>46</v>
      </c>
      <c r="C80" s="24" t="s">
        <v>58</v>
      </c>
      <c r="D80" s="25">
        <v>7.3</v>
      </c>
      <c r="E80" s="24">
        <v>96</v>
      </c>
      <c r="F80" s="24" t="s">
        <v>62</v>
      </c>
      <c r="G80" s="24" t="s">
        <v>67</v>
      </c>
      <c r="H80" s="24" t="s">
        <v>68</v>
      </c>
      <c r="I80" s="24">
        <v>67</v>
      </c>
      <c r="J80" s="24">
        <v>73</v>
      </c>
      <c r="K80" s="24">
        <v>54</v>
      </c>
      <c r="L80" s="24">
        <v>53</v>
      </c>
      <c r="M80" s="24">
        <v>62</v>
      </c>
      <c r="N80" s="26">
        <f t="shared" si="1"/>
        <v>61.8</v>
      </c>
      <c r="O80" s="11" t="str">
        <f>LOOKUP(N80,Settings!$A$10:$A$14,Settings!$B$10:$B$14)</f>
        <v>C</v>
      </c>
      <c r="P80" s="11" t="str">
        <f>IF(N80&gt;=Settings!$B$3,"Pass","Fail")</f>
        <v>Pass</v>
      </c>
      <c r="Q80" s="11" t="str">
        <f>LOOKUP(D80,Settings!$A$19:$A$23,Settings!$B$19:$B$23)</f>
        <v>5 to 9 hrs</v>
      </c>
      <c r="R80" s="11" t="str">
        <f>LOOKUP(E80,Settings!$A$28:$A$31,Settings!$B$28:$B$31)</f>
        <v>95 to 100%</v>
      </c>
      <c r="S80" s="11" t="str">
        <f>IF(OR(N80&lt;Settings!$B$4,E80&lt;Settings!$B$5),"Yes","No")</f>
        <v>No</v>
      </c>
      <c r="T80" s="11">
        <f>RANK(N80,$N$2:$N$301,0)+COUNTIF($N$2:N80,N80)-1</f>
        <v>157</v>
      </c>
    </row>
    <row r="81" spans="1:20" x14ac:dyDescent="0.3">
      <c r="A81" s="24" t="s">
        <v>187</v>
      </c>
      <c r="B81" s="24" t="s">
        <v>46</v>
      </c>
      <c r="C81" s="24" t="s">
        <v>59</v>
      </c>
      <c r="D81" s="25">
        <v>19.600000000000001</v>
      </c>
      <c r="E81" s="24">
        <v>81</v>
      </c>
      <c r="F81" s="24" t="s">
        <v>63</v>
      </c>
      <c r="G81" s="24" t="s">
        <v>67</v>
      </c>
      <c r="H81" s="24" t="s">
        <v>68</v>
      </c>
      <c r="I81" s="24">
        <v>78</v>
      </c>
      <c r="J81" s="24">
        <v>84</v>
      </c>
      <c r="K81" s="24">
        <v>77</v>
      </c>
      <c r="L81" s="24">
        <v>68</v>
      </c>
      <c r="M81" s="24">
        <v>71</v>
      </c>
      <c r="N81" s="26">
        <f t="shared" si="1"/>
        <v>75.599999999999994</v>
      </c>
      <c r="O81" s="11" t="str">
        <f>LOOKUP(N81,Settings!$A$10:$A$14,Settings!$B$10:$B$14)</f>
        <v>B</v>
      </c>
      <c r="P81" s="11" t="str">
        <f>IF(N81&gt;=Settings!$B$3,"Pass","Fail")</f>
        <v>Pass</v>
      </c>
      <c r="Q81" s="11" t="str">
        <f>LOOKUP(D81,Settings!$A$19:$A$23,Settings!$B$19:$B$23)</f>
        <v>15 to 19 hrs</v>
      </c>
      <c r="R81" s="11" t="str">
        <f>LOOKUP(E81,Settings!$A$28:$A$31,Settings!$B$28:$B$31)</f>
        <v>75 to 84%</v>
      </c>
      <c r="S81" s="11" t="str">
        <f>IF(OR(N81&lt;Settings!$B$4,E81&lt;Settings!$B$5),"Yes","No")</f>
        <v>No</v>
      </c>
      <c r="T81" s="11">
        <f>RANK(N81,$N$2:$N$301,0)+COUNTIF($N$2:N81,N81)-1</f>
        <v>22</v>
      </c>
    </row>
    <row r="82" spans="1:20" x14ac:dyDescent="0.3">
      <c r="A82" s="24" t="s">
        <v>188</v>
      </c>
      <c r="B82" s="24" t="s">
        <v>46</v>
      </c>
      <c r="C82" s="24" t="s">
        <v>58</v>
      </c>
      <c r="D82" s="25">
        <v>10.7</v>
      </c>
      <c r="E82" s="24">
        <v>81</v>
      </c>
      <c r="F82" s="24" t="s">
        <v>62</v>
      </c>
      <c r="G82" s="24" t="s">
        <v>68</v>
      </c>
      <c r="H82" s="24" t="s">
        <v>67</v>
      </c>
      <c r="I82" s="24">
        <v>57</v>
      </c>
      <c r="J82" s="24">
        <v>48</v>
      </c>
      <c r="K82" s="24">
        <v>62</v>
      </c>
      <c r="L82" s="24">
        <v>53</v>
      </c>
      <c r="M82" s="24">
        <v>46</v>
      </c>
      <c r="N82" s="26">
        <f t="shared" si="1"/>
        <v>53.2</v>
      </c>
      <c r="O82" s="11" t="str">
        <f>LOOKUP(N82,Settings!$A$10:$A$14,Settings!$B$10:$B$14)</f>
        <v>D</v>
      </c>
      <c r="P82" s="11" t="str">
        <f>IF(N82&gt;=Settings!$B$3,"Pass","Fail")</f>
        <v>Pass</v>
      </c>
      <c r="Q82" s="11" t="str">
        <f>LOOKUP(D82,Settings!$A$19:$A$23,Settings!$B$19:$B$23)</f>
        <v>10 to 14 hrs</v>
      </c>
      <c r="R82" s="11" t="str">
        <f>LOOKUP(E82,Settings!$A$28:$A$31,Settings!$B$28:$B$31)</f>
        <v>75 to 84%</v>
      </c>
      <c r="S82" s="11" t="str">
        <f>IF(OR(N82&lt;Settings!$B$4,E82&lt;Settings!$B$5),"Yes","No")</f>
        <v>Yes</v>
      </c>
      <c r="T82" s="11">
        <f>RANK(N82,$N$2:$N$301,0)+COUNTIF($N$2:N82,N82)-1</f>
        <v>242</v>
      </c>
    </row>
    <row r="83" spans="1:20" x14ac:dyDescent="0.3">
      <c r="A83" s="24" t="s">
        <v>189</v>
      </c>
      <c r="B83" s="24" t="s">
        <v>45</v>
      </c>
      <c r="C83" s="24" t="s">
        <v>59</v>
      </c>
      <c r="D83" s="25">
        <v>16.2</v>
      </c>
      <c r="E83" s="24">
        <v>87</v>
      </c>
      <c r="F83" s="24" t="s">
        <v>62</v>
      </c>
      <c r="G83" s="24" t="s">
        <v>68</v>
      </c>
      <c r="H83" s="24" t="s">
        <v>67</v>
      </c>
      <c r="I83" s="24">
        <v>65</v>
      </c>
      <c r="J83" s="24">
        <v>69</v>
      </c>
      <c r="K83" s="24">
        <v>62</v>
      </c>
      <c r="L83" s="24">
        <v>69</v>
      </c>
      <c r="M83" s="24">
        <v>71</v>
      </c>
      <c r="N83" s="26">
        <f t="shared" si="1"/>
        <v>67.2</v>
      </c>
      <c r="O83" s="11" t="str">
        <f>LOOKUP(N83,Settings!$A$10:$A$14,Settings!$B$10:$B$14)</f>
        <v>C</v>
      </c>
      <c r="P83" s="11" t="str">
        <f>IF(N83&gt;=Settings!$B$3,"Pass","Fail")</f>
        <v>Pass</v>
      </c>
      <c r="Q83" s="11" t="str">
        <f>LOOKUP(D83,Settings!$A$19:$A$23,Settings!$B$19:$B$23)</f>
        <v>15 to 19 hrs</v>
      </c>
      <c r="R83" s="11" t="str">
        <f>LOOKUP(E83,Settings!$A$28:$A$31,Settings!$B$28:$B$31)</f>
        <v>85 to 94%</v>
      </c>
      <c r="S83" s="11" t="str">
        <f>IF(OR(N83&lt;Settings!$B$4,E83&lt;Settings!$B$5),"Yes","No")</f>
        <v>No</v>
      </c>
      <c r="T83" s="11">
        <f>RANK(N83,$N$2:$N$301,0)+COUNTIF($N$2:N83,N83)-1</f>
        <v>87</v>
      </c>
    </row>
    <row r="84" spans="1:20" x14ac:dyDescent="0.3">
      <c r="A84" s="24" t="s">
        <v>190</v>
      </c>
      <c r="B84" s="24" t="s">
        <v>46</v>
      </c>
      <c r="C84" s="24" t="s">
        <v>59</v>
      </c>
      <c r="D84" s="25">
        <v>13.2</v>
      </c>
      <c r="E84" s="24">
        <v>93</v>
      </c>
      <c r="F84" s="24" t="s">
        <v>62</v>
      </c>
      <c r="G84" s="24" t="s">
        <v>68</v>
      </c>
      <c r="H84" s="24" t="s">
        <v>67</v>
      </c>
      <c r="I84" s="24">
        <v>72</v>
      </c>
      <c r="J84" s="24">
        <v>69</v>
      </c>
      <c r="K84" s="24">
        <v>71</v>
      </c>
      <c r="L84" s="24">
        <v>87</v>
      </c>
      <c r="M84" s="24">
        <v>76</v>
      </c>
      <c r="N84" s="26">
        <f t="shared" si="1"/>
        <v>75</v>
      </c>
      <c r="O84" s="11" t="str">
        <f>LOOKUP(N84,Settings!$A$10:$A$14,Settings!$B$10:$B$14)</f>
        <v>B</v>
      </c>
      <c r="P84" s="11" t="str">
        <f>IF(N84&gt;=Settings!$B$3,"Pass","Fail")</f>
        <v>Pass</v>
      </c>
      <c r="Q84" s="11" t="str">
        <f>LOOKUP(D84,Settings!$A$19:$A$23,Settings!$B$19:$B$23)</f>
        <v>10 to 14 hrs</v>
      </c>
      <c r="R84" s="11" t="str">
        <f>LOOKUP(E84,Settings!$A$28:$A$31,Settings!$B$28:$B$31)</f>
        <v>85 to 94%</v>
      </c>
      <c r="S84" s="11" t="str">
        <f>IF(OR(N84&lt;Settings!$B$4,E84&lt;Settings!$B$5),"Yes","No")</f>
        <v>No</v>
      </c>
      <c r="T84" s="11">
        <f>RANK(N84,$N$2:$N$301,0)+COUNTIF($N$2:N84,N84)-1</f>
        <v>24</v>
      </c>
    </row>
    <row r="85" spans="1:20" x14ac:dyDescent="0.3">
      <c r="A85" s="24" t="s">
        <v>191</v>
      </c>
      <c r="B85" s="24" t="s">
        <v>45</v>
      </c>
      <c r="C85" s="24" t="s">
        <v>58</v>
      </c>
      <c r="D85" s="25">
        <v>11.5</v>
      </c>
      <c r="E85" s="24">
        <v>74</v>
      </c>
      <c r="F85" s="24" t="s">
        <v>63</v>
      </c>
      <c r="G85" s="24" t="s">
        <v>67</v>
      </c>
      <c r="H85" s="24" t="s">
        <v>68</v>
      </c>
      <c r="I85" s="24">
        <v>64</v>
      </c>
      <c r="J85" s="24">
        <v>52</v>
      </c>
      <c r="K85" s="24">
        <v>57</v>
      </c>
      <c r="L85" s="24">
        <v>66</v>
      </c>
      <c r="M85" s="24">
        <v>56</v>
      </c>
      <c r="N85" s="26">
        <f t="shared" si="1"/>
        <v>59</v>
      </c>
      <c r="O85" s="11" t="str">
        <f>LOOKUP(N85,Settings!$A$10:$A$14,Settings!$B$10:$B$14)</f>
        <v>D</v>
      </c>
      <c r="P85" s="11" t="str">
        <f>IF(N85&gt;=Settings!$B$3,"Pass","Fail")</f>
        <v>Pass</v>
      </c>
      <c r="Q85" s="11" t="str">
        <f>LOOKUP(D85,Settings!$A$19:$A$23,Settings!$B$19:$B$23)</f>
        <v>10 to 14 hrs</v>
      </c>
      <c r="R85" s="11" t="str">
        <f>LOOKUP(E85,Settings!$A$28:$A$31,Settings!$B$28:$B$31)</f>
        <v>Below 75%</v>
      </c>
      <c r="S85" s="11" t="str">
        <f>IF(OR(N85&lt;Settings!$B$4,E85&lt;Settings!$B$5),"Yes","No")</f>
        <v>Yes</v>
      </c>
      <c r="T85" s="11">
        <f>RANK(N85,$N$2:$N$301,0)+COUNTIF($N$2:N85,N85)-1</f>
        <v>187</v>
      </c>
    </row>
    <row r="86" spans="1:20" x14ac:dyDescent="0.3">
      <c r="A86" s="24" t="s">
        <v>192</v>
      </c>
      <c r="B86" s="24" t="s">
        <v>45</v>
      </c>
      <c r="C86" s="24" t="s">
        <v>58</v>
      </c>
      <c r="D86" s="25">
        <v>18.8</v>
      </c>
      <c r="E86" s="24">
        <v>78</v>
      </c>
      <c r="F86" s="24" t="s">
        <v>63</v>
      </c>
      <c r="G86" s="24" t="s">
        <v>67</v>
      </c>
      <c r="H86" s="24" t="s">
        <v>68</v>
      </c>
      <c r="I86" s="24">
        <v>69</v>
      </c>
      <c r="J86" s="24">
        <v>74</v>
      </c>
      <c r="K86" s="24">
        <v>66</v>
      </c>
      <c r="L86" s="24">
        <v>58</v>
      </c>
      <c r="M86" s="24">
        <v>63</v>
      </c>
      <c r="N86" s="26">
        <f t="shared" si="1"/>
        <v>66</v>
      </c>
      <c r="O86" s="11" t="str">
        <f>LOOKUP(N86,Settings!$A$10:$A$14,Settings!$B$10:$B$14)</f>
        <v>C</v>
      </c>
      <c r="P86" s="11" t="str">
        <f>IF(N86&gt;=Settings!$B$3,"Pass","Fail")</f>
        <v>Pass</v>
      </c>
      <c r="Q86" s="11" t="str">
        <f>LOOKUP(D86,Settings!$A$19:$A$23,Settings!$B$19:$B$23)</f>
        <v>15 to 19 hrs</v>
      </c>
      <c r="R86" s="11" t="str">
        <f>LOOKUP(E86,Settings!$A$28:$A$31,Settings!$B$28:$B$31)</f>
        <v>75 to 84%</v>
      </c>
      <c r="S86" s="11" t="str">
        <f>IF(OR(N86&lt;Settings!$B$4,E86&lt;Settings!$B$5),"Yes","No")</f>
        <v>No</v>
      </c>
      <c r="T86" s="11">
        <f>RANK(N86,$N$2:$N$301,0)+COUNTIF($N$2:N86,N86)-1</f>
        <v>101</v>
      </c>
    </row>
    <row r="87" spans="1:20" x14ac:dyDescent="0.3">
      <c r="A87" s="24" t="s">
        <v>193</v>
      </c>
      <c r="B87" s="24" t="s">
        <v>45</v>
      </c>
      <c r="C87" s="24" t="s">
        <v>59</v>
      </c>
      <c r="D87" s="25">
        <v>10.8</v>
      </c>
      <c r="E87" s="24">
        <v>69</v>
      </c>
      <c r="F87" s="24" t="s">
        <v>63</v>
      </c>
      <c r="G87" s="24" t="s">
        <v>68</v>
      </c>
      <c r="H87" s="24" t="s">
        <v>68</v>
      </c>
      <c r="I87" s="24">
        <v>64</v>
      </c>
      <c r="J87" s="24">
        <v>59</v>
      </c>
      <c r="K87" s="24">
        <v>46</v>
      </c>
      <c r="L87" s="24">
        <v>49</v>
      </c>
      <c r="M87" s="24">
        <v>39</v>
      </c>
      <c r="N87" s="26">
        <f t="shared" si="1"/>
        <v>51.4</v>
      </c>
      <c r="O87" s="11" t="str">
        <f>LOOKUP(N87,Settings!$A$10:$A$14,Settings!$B$10:$B$14)</f>
        <v>D</v>
      </c>
      <c r="P87" s="11" t="str">
        <f>IF(N87&gt;=Settings!$B$3,"Pass","Fail")</f>
        <v>Pass</v>
      </c>
      <c r="Q87" s="11" t="str">
        <f>LOOKUP(D87,Settings!$A$19:$A$23,Settings!$B$19:$B$23)</f>
        <v>10 to 14 hrs</v>
      </c>
      <c r="R87" s="11" t="str">
        <f>LOOKUP(E87,Settings!$A$28:$A$31,Settings!$B$28:$B$31)</f>
        <v>Below 75%</v>
      </c>
      <c r="S87" s="11" t="str">
        <f>IF(OR(N87&lt;Settings!$B$4,E87&lt;Settings!$B$5),"Yes","No")</f>
        <v>Yes</v>
      </c>
      <c r="T87" s="11">
        <f>RANK(N87,$N$2:$N$301,0)+COUNTIF($N$2:N87,N87)-1</f>
        <v>252</v>
      </c>
    </row>
    <row r="88" spans="1:20" x14ac:dyDescent="0.3">
      <c r="A88" s="24" t="s">
        <v>194</v>
      </c>
      <c r="B88" s="24" t="s">
        <v>46</v>
      </c>
      <c r="C88" s="24" t="s">
        <v>59</v>
      </c>
      <c r="D88" s="25">
        <v>3.1</v>
      </c>
      <c r="E88" s="24">
        <v>84</v>
      </c>
      <c r="F88" s="24" t="s">
        <v>63</v>
      </c>
      <c r="G88" s="24" t="s">
        <v>67</v>
      </c>
      <c r="H88" s="24" t="s">
        <v>67</v>
      </c>
      <c r="I88" s="24">
        <v>46</v>
      </c>
      <c r="J88" s="24">
        <v>51</v>
      </c>
      <c r="K88" s="24">
        <v>50</v>
      </c>
      <c r="L88" s="24">
        <v>49</v>
      </c>
      <c r="M88" s="24">
        <v>57</v>
      </c>
      <c r="N88" s="26">
        <f t="shared" si="1"/>
        <v>50.6</v>
      </c>
      <c r="O88" s="11" t="str">
        <f>LOOKUP(N88,Settings!$A$10:$A$14,Settings!$B$10:$B$14)</f>
        <v>D</v>
      </c>
      <c r="P88" s="11" t="str">
        <f>IF(N88&gt;=Settings!$B$3,"Pass","Fail")</f>
        <v>Pass</v>
      </c>
      <c r="Q88" s="11" t="str">
        <f>LOOKUP(D88,Settings!$A$19:$A$23,Settings!$B$19:$B$23)</f>
        <v>0 to 4 hrs</v>
      </c>
      <c r="R88" s="11" t="str">
        <f>LOOKUP(E88,Settings!$A$28:$A$31,Settings!$B$28:$B$31)</f>
        <v>75 to 84%</v>
      </c>
      <c r="S88" s="11" t="str">
        <f>IF(OR(N88&lt;Settings!$B$4,E88&lt;Settings!$B$5),"Yes","No")</f>
        <v>Yes</v>
      </c>
      <c r="T88" s="11">
        <f>RANK(N88,$N$2:$N$301,0)+COUNTIF($N$2:N88,N88)-1</f>
        <v>261</v>
      </c>
    </row>
    <row r="89" spans="1:20" x14ac:dyDescent="0.3">
      <c r="A89" s="24" t="s">
        <v>195</v>
      </c>
      <c r="B89" s="24" t="s">
        <v>45</v>
      </c>
      <c r="C89" s="24" t="s">
        <v>59</v>
      </c>
      <c r="D89" s="25">
        <v>8</v>
      </c>
      <c r="E89" s="24">
        <v>76</v>
      </c>
      <c r="F89" s="24" t="s">
        <v>64</v>
      </c>
      <c r="G89" s="24" t="s">
        <v>67</v>
      </c>
      <c r="H89" s="24" t="s">
        <v>67</v>
      </c>
      <c r="I89" s="24">
        <v>59</v>
      </c>
      <c r="J89" s="24">
        <v>63</v>
      </c>
      <c r="K89" s="24">
        <v>66</v>
      </c>
      <c r="L89" s="24">
        <v>65</v>
      </c>
      <c r="M89" s="24">
        <v>60</v>
      </c>
      <c r="N89" s="26">
        <f t="shared" si="1"/>
        <v>62.6</v>
      </c>
      <c r="O89" s="11" t="str">
        <f>LOOKUP(N89,Settings!$A$10:$A$14,Settings!$B$10:$B$14)</f>
        <v>C</v>
      </c>
      <c r="P89" s="11" t="str">
        <f>IF(N89&gt;=Settings!$B$3,"Pass","Fail")</f>
        <v>Pass</v>
      </c>
      <c r="Q89" s="11" t="str">
        <f>LOOKUP(D89,Settings!$A$19:$A$23,Settings!$B$19:$B$23)</f>
        <v>5 to 9 hrs</v>
      </c>
      <c r="R89" s="11" t="str">
        <f>LOOKUP(E89,Settings!$A$28:$A$31,Settings!$B$28:$B$31)</f>
        <v>75 to 84%</v>
      </c>
      <c r="S89" s="11" t="str">
        <f>IF(OR(N89&lt;Settings!$B$4,E89&lt;Settings!$B$5),"Yes","No")</f>
        <v>No</v>
      </c>
      <c r="T89" s="11">
        <f>RANK(N89,$N$2:$N$301,0)+COUNTIF($N$2:N89,N89)-1</f>
        <v>143</v>
      </c>
    </row>
    <row r="90" spans="1:20" x14ac:dyDescent="0.3">
      <c r="A90" s="24" t="s">
        <v>196</v>
      </c>
      <c r="B90" s="24" t="s">
        <v>45</v>
      </c>
      <c r="C90" s="24" t="s">
        <v>57</v>
      </c>
      <c r="D90" s="25">
        <v>14.8</v>
      </c>
      <c r="E90" s="24">
        <v>84</v>
      </c>
      <c r="F90" s="24" t="s">
        <v>64</v>
      </c>
      <c r="G90" s="24" t="s">
        <v>67</v>
      </c>
      <c r="H90" s="24" t="s">
        <v>68</v>
      </c>
      <c r="I90" s="24">
        <v>70</v>
      </c>
      <c r="J90" s="24">
        <v>68</v>
      </c>
      <c r="K90" s="24">
        <v>72</v>
      </c>
      <c r="L90" s="24">
        <v>72</v>
      </c>
      <c r="M90" s="24">
        <v>75</v>
      </c>
      <c r="N90" s="26">
        <f t="shared" si="1"/>
        <v>71.400000000000006</v>
      </c>
      <c r="O90" s="11" t="str">
        <f>LOOKUP(N90,Settings!$A$10:$A$14,Settings!$B$10:$B$14)</f>
        <v>B</v>
      </c>
      <c r="P90" s="11" t="str">
        <f>IF(N90&gt;=Settings!$B$3,"Pass","Fail")</f>
        <v>Pass</v>
      </c>
      <c r="Q90" s="11" t="str">
        <f>LOOKUP(D90,Settings!$A$19:$A$23,Settings!$B$19:$B$23)</f>
        <v>10 to 14 hrs</v>
      </c>
      <c r="R90" s="11" t="str">
        <f>LOOKUP(E90,Settings!$A$28:$A$31,Settings!$B$28:$B$31)</f>
        <v>75 to 84%</v>
      </c>
      <c r="S90" s="11" t="str">
        <f>IF(OR(N90&lt;Settings!$B$4,E90&lt;Settings!$B$5),"Yes","No")</f>
        <v>No</v>
      </c>
      <c r="T90" s="11">
        <f>RANK(N90,$N$2:$N$301,0)+COUNTIF($N$2:N90,N90)-1</f>
        <v>42</v>
      </c>
    </row>
    <row r="91" spans="1:20" x14ac:dyDescent="0.3">
      <c r="A91" s="24" t="s">
        <v>197</v>
      </c>
      <c r="B91" s="24" t="s">
        <v>45</v>
      </c>
      <c r="C91" s="24" t="s">
        <v>59</v>
      </c>
      <c r="D91" s="25">
        <v>14</v>
      </c>
      <c r="E91" s="24">
        <v>92</v>
      </c>
      <c r="F91" s="24" t="s">
        <v>63</v>
      </c>
      <c r="G91" s="24" t="s">
        <v>68</v>
      </c>
      <c r="H91" s="24" t="s">
        <v>68</v>
      </c>
      <c r="I91" s="24">
        <v>69</v>
      </c>
      <c r="J91" s="24">
        <v>72</v>
      </c>
      <c r="K91" s="24">
        <v>73</v>
      </c>
      <c r="L91" s="24">
        <v>61</v>
      </c>
      <c r="M91" s="24">
        <v>64</v>
      </c>
      <c r="N91" s="26">
        <f t="shared" si="1"/>
        <v>67.8</v>
      </c>
      <c r="O91" s="11" t="str">
        <f>LOOKUP(N91,Settings!$A$10:$A$14,Settings!$B$10:$B$14)</f>
        <v>C</v>
      </c>
      <c r="P91" s="11" t="str">
        <f>IF(N91&gt;=Settings!$B$3,"Pass","Fail")</f>
        <v>Pass</v>
      </c>
      <c r="Q91" s="11" t="str">
        <f>LOOKUP(D91,Settings!$A$19:$A$23,Settings!$B$19:$B$23)</f>
        <v>10 to 14 hrs</v>
      </c>
      <c r="R91" s="11" t="str">
        <f>LOOKUP(E91,Settings!$A$28:$A$31,Settings!$B$28:$B$31)</f>
        <v>85 to 94%</v>
      </c>
      <c r="S91" s="11" t="str">
        <f>IF(OR(N91&lt;Settings!$B$4,E91&lt;Settings!$B$5),"Yes","No")</f>
        <v>No</v>
      </c>
      <c r="T91" s="11">
        <f>RANK(N91,$N$2:$N$301,0)+COUNTIF($N$2:N91,N91)-1</f>
        <v>76</v>
      </c>
    </row>
    <row r="92" spans="1:20" x14ac:dyDescent="0.3">
      <c r="A92" s="24" t="s">
        <v>198</v>
      </c>
      <c r="B92" s="24" t="s">
        <v>45</v>
      </c>
      <c r="C92" s="24" t="s">
        <v>58</v>
      </c>
      <c r="D92" s="25">
        <v>4.2</v>
      </c>
      <c r="E92" s="24">
        <v>79</v>
      </c>
      <c r="F92" s="24" t="s">
        <v>62</v>
      </c>
      <c r="G92" s="24" t="s">
        <v>67</v>
      </c>
      <c r="H92" s="24" t="s">
        <v>68</v>
      </c>
      <c r="I92" s="24">
        <v>44</v>
      </c>
      <c r="J92" s="24">
        <v>53</v>
      </c>
      <c r="K92" s="24">
        <v>53</v>
      </c>
      <c r="L92" s="24">
        <v>50</v>
      </c>
      <c r="M92" s="24">
        <v>56</v>
      </c>
      <c r="N92" s="26">
        <f t="shared" si="1"/>
        <v>51.2</v>
      </c>
      <c r="O92" s="11" t="str">
        <f>LOOKUP(N92,Settings!$A$10:$A$14,Settings!$B$10:$B$14)</f>
        <v>D</v>
      </c>
      <c r="P92" s="11" t="str">
        <f>IF(N92&gt;=Settings!$B$3,"Pass","Fail")</f>
        <v>Pass</v>
      </c>
      <c r="Q92" s="11" t="str">
        <f>LOOKUP(D92,Settings!$A$19:$A$23,Settings!$B$19:$B$23)</f>
        <v>0 to 4 hrs</v>
      </c>
      <c r="R92" s="11" t="str">
        <f>LOOKUP(E92,Settings!$A$28:$A$31,Settings!$B$28:$B$31)</f>
        <v>75 to 84%</v>
      </c>
      <c r="S92" s="11" t="str">
        <f>IF(OR(N92&lt;Settings!$B$4,E92&lt;Settings!$B$5),"Yes","No")</f>
        <v>Yes</v>
      </c>
      <c r="T92" s="11">
        <f>RANK(N92,$N$2:$N$301,0)+COUNTIF($N$2:N92,N92)-1</f>
        <v>255</v>
      </c>
    </row>
    <row r="93" spans="1:20" x14ac:dyDescent="0.3">
      <c r="A93" s="24" t="s">
        <v>199</v>
      </c>
      <c r="B93" s="24" t="s">
        <v>46</v>
      </c>
      <c r="C93" s="24" t="s">
        <v>57</v>
      </c>
      <c r="D93" s="25">
        <v>8.4</v>
      </c>
      <c r="E93" s="24">
        <v>87</v>
      </c>
      <c r="F93" s="24" t="s">
        <v>64</v>
      </c>
      <c r="G93" s="24" t="s">
        <v>68</v>
      </c>
      <c r="H93" s="24" t="s">
        <v>68</v>
      </c>
      <c r="I93" s="24">
        <v>61</v>
      </c>
      <c r="J93" s="24">
        <v>58</v>
      </c>
      <c r="K93" s="24">
        <v>56</v>
      </c>
      <c r="L93" s="24">
        <v>65</v>
      </c>
      <c r="M93" s="24">
        <v>64</v>
      </c>
      <c r="N93" s="26">
        <f t="shared" si="1"/>
        <v>60.8</v>
      </c>
      <c r="O93" s="11" t="str">
        <f>LOOKUP(N93,Settings!$A$10:$A$14,Settings!$B$10:$B$14)</f>
        <v>C</v>
      </c>
      <c r="P93" s="11" t="str">
        <f>IF(N93&gt;=Settings!$B$3,"Pass","Fail")</f>
        <v>Pass</v>
      </c>
      <c r="Q93" s="11" t="str">
        <f>LOOKUP(D93,Settings!$A$19:$A$23,Settings!$B$19:$B$23)</f>
        <v>5 to 9 hrs</v>
      </c>
      <c r="R93" s="11" t="str">
        <f>LOOKUP(E93,Settings!$A$28:$A$31,Settings!$B$28:$B$31)</f>
        <v>85 to 94%</v>
      </c>
      <c r="S93" s="11" t="str">
        <f>IF(OR(N93&lt;Settings!$B$4,E93&lt;Settings!$B$5),"Yes","No")</f>
        <v>No</v>
      </c>
      <c r="T93" s="11">
        <f>RANK(N93,$N$2:$N$301,0)+COUNTIF($N$2:N93,N93)-1</f>
        <v>164</v>
      </c>
    </row>
    <row r="94" spans="1:20" x14ac:dyDescent="0.3">
      <c r="A94" s="24" t="s">
        <v>200</v>
      </c>
      <c r="B94" s="24" t="s">
        <v>45</v>
      </c>
      <c r="C94" s="24" t="s">
        <v>58</v>
      </c>
      <c r="D94" s="25">
        <v>9.1</v>
      </c>
      <c r="E94" s="24">
        <v>83</v>
      </c>
      <c r="F94" s="24" t="s">
        <v>62</v>
      </c>
      <c r="G94" s="24" t="s">
        <v>68</v>
      </c>
      <c r="H94" s="24" t="s">
        <v>68</v>
      </c>
      <c r="I94" s="24">
        <v>51</v>
      </c>
      <c r="J94" s="24">
        <v>41</v>
      </c>
      <c r="K94" s="24">
        <v>43</v>
      </c>
      <c r="L94" s="24">
        <v>55</v>
      </c>
      <c r="M94" s="24">
        <v>52</v>
      </c>
      <c r="N94" s="26">
        <f t="shared" si="1"/>
        <v>48.4</v>
      </c>
      <c r="O94" s="11" t="str">
        <f>LOOKUP(N94,Settings!$A$10:$A$14,Settings!$B$10:$B$14)</f>
        <v>F</v>
      </c>
      <c r="P94" s="11" t="str">
        <f>IF(N94&gt;=Settings!$B$3,"Pass","Fail")</f>
        <v>Fail</v>
      </c>
      <c r="Q94" s="11" t="str">
        <f>LOOKUP(D94,Settings!$A$19:$A$23,Settings!$B$19:$B$23)</f>
        <v>5 to 9 hrs</v>
      </c>
      <c r="R94" s="11" t="str">
        <f>LOOKUP(E94,Settings!$A$28:$A$31,Settings!$B$28:$B$31)</f>
        <v>75 to 84%</v>
      </c>
      <c r="S94" s="11" t="str">
        <f>IF(OR(N94&lt;Settings!$B$4,E94&lt;Settings!$B$5),"Yes","No")</f>
        <v>Yes</v>
      </c>
      <c r="T94" s="11">
        <f>RANK(N94,$N$2:$N$301,0)+COUNTIF($N$2:N94,N94)-1</f>
        <v>276</v>
      </c>
    </row>
    <row r="95" spans="1:20" x14ac:dyDescent="0.3">
      <c r="A95" s="24" t="s">
        <v>201</v>
      </c>
      <c r="B95" s="24" t="s">
        <v>45</v>
      </c>
      <c r="C95" s="24" t="s">
        <v>58</v>
      </c>
      <c r="D95" s="25">
        <v>10.199999999999999</v>
      </c>
      <c r="E95" s="24">
        <v>91</v>
      </c>
      <c r="F95" s="24" t="s">
        <v>63</v>
      </c>
      <c r="G95" s="24" t="s">
        <v>67</v>
      </c>
      <c r="H95" s="24" t="s">
        <v>67</v>
      </c>
      <c r="I95" s="24">
        <v>52</v>
      </c>
      <c r="J95" s="24">
        <v>61</v>
      </c>
      <c r="K95" s="24">
        <v>57</v>
      </c>
      <c r="L95" s="24">
        <v>54</v>
      </c>
      <c r="M95" s="24">
        <v>61</v>
      </c>
      <c r="N95" s="26">
        <f t="shared" si="1"/>
        <v>57</v>
      </c>
      <c r="O95" s="11" t="str">
        <f>LOOKUP(N95,Settings!$A$10:$A$14,Settings!$B$10:$B$14)</f>
        <v>D</v>
      </c>
      <c r="P95" s="11" t="str">
        <f>IF(N95&gt;=Settings!$B$3,"Pass","Fail")</f>
        <v>Pass</v>
      </c>
      <c r="Q95" s="11" t="str">
        <f>LOOKUP(D95,Settings!$A$19:$A$23,Settings!$B$19:$B$23)</f>
        <v>10 to 14 hrs</v>
      </c>
      <c r="R95" s="11" t="str">
        <f>LOOKUP(E95,Settings!$A$28:$A$31,Settings!$B$28:$B$31)</f>
        <v>85 to 94%</v>
      </c>
      <c r="S95" s="11" t="str">
        <f>IF(OR(N95&lt;Settings!$B$4,E95&lt;Settings!$B$5),"Yes","No")</f>
        <v>No</v>
      </c>
      <c r="T95" s="11">
        <f>RANK(N95,$N$2:$N$301,0)+COUNTIF($N$2:N95,N95)-1</f>
        <v>204</v>
      </c>
    </row>
    <row r="96" spans="1:20" x14ac:dyDescent="0.3">
      <c r="A96" s="24" t="s">
        <v>202</v>
      </c>
      <c r="B96" s="24" t="s">
        <v>45</v>
      </c>
      <c r="C96" s="24" t="s">
        <v>57</v>
      </c>
      <c r="D96" s="25">
        <v>5.0999999999999996</v>
      </c>
      <c r="E96" s="24">
        <v>88</v>
      </c>
      <c r="F96" s="24" t="s">
        <v>64</v>
      </c>
      <c r="G96" s="24" t="s">
        <v>68</v>
      </c>
      <c r="H96" s="24" t="s">
        <v>67</v>
      </c>
      <c r="I96" s="24">
        <v>53</v>
      </c>
      <c r="J96" s="24">
        <v>65</v>
      </c>
      <c r="K96" s="24">
        <v>53</v>
      </c>
      <c r="L96" s="24">
        <v>56</v>
      </c>
      <c r="M96" s="24">
        <v>59</v>
      </c>
      <c r="N96" s="26">
        <f t="shared" si="1"/>
        <v>57.2</v>
      </c>
      <c r="O96" s="11" t="str">
        <f>LOOKUP(N96,Settings!$A$10:$A$14,Settings!$B$10:$B$14)</f>
        <v>D</v>
      </c>
      <c r="P96" s="11" t="str">
        <f>IF(N96&gt;=Settings!$B$3,"Pass","Fail")</f>
        <v>Pass</v>
      </c>
      <c r="Q96" s="11" t="str">
        <f>LOOKUP(D96,Settings!$A$19:$A$23,Settings!$B$19:$B$23)</f>
        <v>5 to 9 hrs</v>
      </c>
      <c r="R96" s="11" t="str">
        <f>LOOKUP(E96,Settings!$A$28:$A$31,Settings!$B$28:$B$31)</f>
        <v>85 to 94%</v>
      </c>
      <c r="S96" s="11" t="str">
        <f>IF(OR(N96&lt;Settings!$B$4,E96&lt;Settings!$B$5),"Yes","No")</f>
        <v>No</v>
      </c>
      <c r="T96" s="11">
        <f>RANK(N96,$N$2:$N$301,0)+COUNTIF($N$2:N96,N96)-1</f>
        <v>199</v>
      </c>
    </row>
    <row r="97" spans="1:20" x14ac:dyDescent="0.3">
      <c r="A97" s="24" t="s">
        <v>203</v>
      </c>
      <c r="B97" s="24" t="s">
        <v>46</v>
      </c>
      <c r="C97" s="24" t="s">
        <v>58</v>
      </c>
      <c r="D97" s="25">
        <v>8.9</v>
      </c>
      <c r="E97" s="24">
        <v>80</v>
      </c>
      <c r="F97" s="24" t="s">
        <v>63</v>
      </c>
      <c r="G97" s="24" t="s">
        <v>67</v>
      </c>
      <c r="H97" s="24" t="s">
        <v>67</v>
      </c>
      <c r="I97" s="24">
        <v>63</v>
      </c>
      <c r="J97" s="24">
        <v>52</v>
      </c>
      <c r="K97" s="24">
        <v>54</v>
      </c>
      <c r="L97" s="24">
        <v>45</v>
      </c>
      <c r="M97" s="24">
        <v>64</v>
      </c>
      <c r="N97" s="26">
        <f t="shared" si="1"/>
        <v>55.6</v>
      </c>
      <c r="O97" s="11" t="str">
        <f>LOOKUP(N97,Settings!$A$10:$A$14,Settings!$B$10:$B$14)</f>
        <v>D</v>
      </c>
      <c r="P97" s="11" t="str">
        <f>IF(N97&gt;=Settings!$B$3,"Pass","Fail")</f>
        <v>Pass</v>
      </c>
      <c r="Q97" s="11" t="str">
        <f>LOOKUP(D97,Settings!$A$19:$A$23,Settings!$B$19:$B$23)</f>
        <v>5 to 9 hrs</v>
      </c>
      <c r="R97" s="11" t="str">
        <f>LOOKUP(E97,Settings!$A$28:$A$31,Settings!$B$28:$B$31)</f>
        <v>75 to 84%</v>
      </c>
      <c r="S97" s="11" t="str">
        <f>IF(OR(N97&lt;Settings!$B$4,E97&lt;Settings!$B$5),"Yes","No")</f>
        <v>No</v>
      </c>
      <c r="T97" s="11">
        <f>RANK(N97,$N$2:$N$301,0)+COUNTIF($N$2:N97,N97)-1</f>
        <v>220</v>
      </c>
    </row>
    <row r="98" spans="1:20" x14ac:dyDescent="0.3">
      <c r="A98" s="24" t="s">
        <v>204</v>
      </c>
      <c r="B98" s="24" t="s">
        <v>45</v>
      </c>
      <c r="C98" s="24" t="s">
        <v>59</v>
      </c>
      <c r="D98" s="25">
        <v>8.4</v>
      </c>
      <c r="E98" s="24">
        <v>84</v>
      </c>
      <c r="F98" s="24" t="s">
        <v>63</v>
      </c>
      <c r="G98" s="24" t="s">
        <v>67</v>
      </c>
      <c r="H98" s="24" t="s">
        <v>67</v>
      </c>
      <c r="I98" s="24">
        <v>65</v>
      </c>
      <c r="J98" s="24">
        <v>66</v>
      </c>
      <c r="K98" s="24">
        <v>57</v>
      </c>
      <c r="L98" s="24">
        <v>58</v>
      </c>
      <c r="M98" s="24">
        <v>58</v>
      </c>
      <c r="N98" s="26">
        <f t="shared" si="1"/>
        <v>60.8</v>
      </c>
      <c r="O98" s="11" t="str">
        <f>LOOKUP(N98,Settings!$A$10:$A$14,Settings!$B$10:$B$14)</f>
        <v>C</v>
      </c>
      <c r="P98" s="11" t="str">
        <f>IF(N98&gt;=Settings!$B$3,"Pass","Fail")</f>
        <v>Pass</v>
      </c>
      <c r="Q98" s="11" t="str">
        <f>LOOKUP(D98,Settings!$A$19:$A$23,Settings!$B$19:$B$23)</f>
        <v>5 to 9 hrs</v>
      </c>
      <c r="R98" s="11" t="str">
        <f>LOOKUP(E98,Settings!$A$28:$A$31,Settings!$B$28:$B$31)</f>
        <v>75 to 84%</v>
      </c>
      <c r="S98" s="11" t="str">
        <f>IF(OR(N98&lt;Settings!$B$4,E98&lt;Settings!$B$5),"Yes","No")</f>
        <v>No</v>
      </c>
      <c r="T98" s="11">
        <f>RANK(N98,$N$2:$N$301,0)+COUNTIF($N$2:N98,N98)-1</f>
        <v>165</v>
      </c>
    </row>
    <row r="99" spans="1:20" x14ac:dyDescent="0.3">
      <c r="A99" s="24" t="s">
        <v>205</v>
      </c>
      <c r="B99" s="24" t="s">
        <v>45</v>
      </c>
      <c r="C99" s="24" t="s">
        <v>57</v>
      </c>
      <c r="D99" s="25">
        <v>15.9</v>
      </c>
      <c r="E99" s="24">
        <v>96</v>
      </c>
      <c r="F99" s="24" t="s">
        <v>63</v>
      </c>
      <c r="G99" s="24" t="s">
        <v>67</v>
      </c>
      <c r="H99" s="24" t="s">
        <v>67</v>
      </c>
      <c r="I99" s="24">
        <v>63</v>
      </c>
      <c r="J99" s="24">
        <v>72</v>
      </c>
      <c r="K99" s="24">
        <v>64</v>
      </c>
      <c r="L99" s="24">
        <v>66</v>
      </c>
      <c r="M99" s="24">
        <v>79</v>
      </c>
      <c r="N99" s="26">
        <f t="shared" si="1"/>
        <v>68.8</v>
      </c>
      <c r="O99" s="11" t="str">
        <f>LOOKUP(N99,Settings!$A$10:$A$14,Settings!$B$10:$B$14)</f>
        <v>C</v>
      </c>
      <c r="P99" s="11" t="str">
        <f>IF(N99&gt;=Settings!$B$3,"Pass","Fail")</f>
        <v>Pass</v>
      </c>
      <c r="Q99" s="11" t="str">
        <f>LOOKUP(D99,Settings!$A$19:$A$23,Settings!$B$19:$B$23)</f>
        <v>15 to 19 hrs</v>
      </c>
      <c r="R99" s="11" t="str">
        <f>LOOKUP(E99,Settings!$A$28:$A$31,Settings!$B$28:$B$31)</f>
        <v>95 to 100%</v>
      </c>
      <c r="S99" s="11" t="str">
        <f>IF(OR(N99&lt;Settings!$B$4,E99&lt;Settings!$B$5),"Yes","No")</f>
        <v>No</v>
      </c>
      <c r="T99" s="11">
        <f>RANK(N99,$N$2:$N$301,0)+COUNTIF($N$2:N99,N99)-1</f>
        <v>68</v>
      </c>
    </row>
    <row r="100" spans="1:20" x14ac:dyDescent="0.3">
      <c r="A100" s="24" t="s">
        <v>206</v>
      </c>
      <c r="B100" s="24" t="s">
        <v>45</v>
      </c>
      <c r="C100" s="24" t="s">
        <v>58</v>
      </c>
      <c r="D100" s="25">
        <v>16</v>
      </c>
      <c r="E100" s="24">
        <v>90</v>
      </c>
      <c r="F100" s="24" t="s">
        <v>63</v>
      </c>
      <c r="G100" s="24" t="s">
        <v>68</v>
      </c>
      <c r="H100" s="24" t="s">
        <v>68</v>
      </c>
      <c r="I100" s="24">
        <v>57</v>
      </c>
      <c r="J100" s="24">
        <v>76</v>
      </c>
      <c r="K100" s="24">
        <v>65</v>
      </c>
      <c r="L100" s="24">
        <v>65</v>
      </c>
      <c r="M100" s="24">
        <v>63</v>
      </c>
      <c r="N100" s="26">
        <f t="shared" si="1"/>
        <v>65.2</v>
      </c>
      <c r="O100" s="11" t="str">
        <f>LOOKUP(N100,Settings!$A$10:$A$14,Settings!$B$10:$B$14)</f>
        <v>C</v>
      </c>
      <c r="P100" s="11" t="str">
        <f>IF(N100&gt;=Settings!$B$3,"Pass","Fail")</f>
        <v>Pass</v>
      </c>
      <c r="Q100" s="11" t="str">
        <f>LOOKUP(D100,Settings!$A$19:$A$23,Settings!$B$19:$B$23)</f>
        <v>15 to 19 hrs</v>
      </c>
      <c r="R100" s="11" t="str">
        <f>LOOKUP(E100,Settings!$A$28:$A$31,Settings!$B$28:$B$31)</f>
        <v>85 to 94%</v>
      </c>
      <c r="S100" s="11" t="str">
        <f>IF(OR(N100&lt;Settings!$B$4,E100&lt;Settings!$B$5),"Yes","No")</f>
        <v>No</v>
      </c>
      <c r="T100" s="11">
        <f>RANK(N100,$N$2:$N$301,0)+COUNTIF($N$2:N100,N100)-1</f>
        <v>111</v>
      </c>
    </row>
    <row r="101" spans="1:20" x14ac:dyDescent="0.3">
      <c r="A101" s="24" t="s">
        <v>207</v>
      </c>
      <c r="B101" s="24" t="s">
        <v>46</v>
      </c>
      <c r="C101" s="24" t="s">
        <v>58</v>
      </c>
      <c r="D101" s="25">
        <v>11.3</v>
      </c>
      <c r="E101" s="24">
        <v>75</v>
      </c>
      <c r="F101" s="24" t="s">
        <v>62</v>
      </c>
      <c r="G101" s="24" t="s">
        <v>67</v>
      </c>
      <c r="H101" s="24" t="s">
        <v>67</v>
      </c>
      <c r="I101" s="24">
        <v>44</v>
      </c>
      <c r="J101" s="24">
        <v>57</v>
      </c>
      <c r="K101" s="24">
        <v>52</v>
      </c>
      <c r="L101" s="24">
        <v>55</v>
      </c>
      <c r="M101" s="24">
        <v>55</v>
      </c>
      <c r="N101" s="26">
        <f t="shared" si="1"/>
        <v>52.6</v>
      </c>
      <c r="O101" s="11" t="str">
        <f>LOOKUP(N101,Settings!$A$10:$A$14,Settings!$B$10:$B$14)</f>
        <v>D</v>
      </c>
      <c r="P101" s="11" t="str">
        <f>IF(N101&gt;=Settings!$B$3,"Pass","Fail")</f>
        <v>Pass</v>
      </c>
      <c r="Q101" s="11" t="str">
        <f>LOOKUP(D101,Settings!$A$19:$A$23,Settings!$B$19:$B$23)</f>
        <v>10 to 14 hrs</v>
      </c>
      <c r="R101" s="11" t="str">
        <f>LOOKUP(E101,Settings!$A$28:$A$31,Settings!$B$28:$B$31)</f>
        <v>75 to 84%</v>
      </c>
      <c r="S101" s="11" t="str">
        <f>IF(OR(N101&lt;Settings!$B$4,E101&lt;Settings!$B$5),"Yes","No")</f>
        <v>Yes</v>
      </c>
      <c r="T101" s="11">
        <f>RANK(N101,$N$2:$N$301,0)+COUNTIF($N$2:N101,N101)-1</f>
        <v>246</v>
      </c>
    </row>
    <row r="102" spans="1:20" x14ac:dyDescent="0.3">
      <c r="A102" s="24" t="s">
        <v>208</v>
      </c>
      <c r="B102" s="24" t="s">
        <v>46</v>
      </c>
      <c r="C102" s="24" t="s">
        <v>57</v>
      </c>
      <c r="D102" s="25">
        <v>10</v>
      </c>
      <c r="E102" s="24">
        <v>91</v>
      </c>
      <c r="F102" s="24" t="s">
        <v>62</v>
      </c>
      <c r="G102" s="24" t="s">
        <v>67</v>
      </c>
      <c r="H102" s="24" t="s">
        <v>67</v>
      </c>
      <c r="I102" s="24">
        <v>52</v>
      </c>
      <c r="J102" s="24">
        <v>52</v>
      </c>
      <c r="K102" s="24">
        <v>65</v>
      </c>
      <c r="L102" s="24">
        <v>58</v>
      </c>
      <c r="M102" s="24">
        <v>60</v>
      </c>
      <c r="N102" s="26">
        <f t="shared" si="1"/>
        <v>57.4</v>
      </c>
      <c r="O102" s="11" t="str">
        <f>LOOKUP(N102,Settings!$A$10:$A$14,Settings!$B$10:$B$14)</f>
        <v>D</v>
      </c>
      <c r="P102" s="11" t="str">
        <f>IF(N102&gt;=Settings!$B$3,"Pass","Fail")</f>
        <v>Pass</v>
      </c>
      <c r="Q102" s="11" t="str">
        <f>LOOKUP(D102,Settings!$A$19:$A$23,Settings!$B$19:$B$23)</f>
        <v>10 to 14 hrs</v>
      </c>
      <c r="R102" s="11" t="str">
        <f>LOOKUP(E102,Settings!$A$28:$A$31,Settings!$B$28:$B$31)</f>
        <v>85 to 94%</v>
      </c>
      <c r="S102" s="11" t="str">
        <f>IF(OR(N102&lt;Settings!$B$4,E102&lt;Settings!$B$5),"Yes","No")</f>
        <v>No</v>
      </c>
      <c r="T102" s="11">
        <f>RANK(N102,$N$2:$N$301,0)+COUNTIF($N$2:N102,N102)-1</f>
        <v>197</v>
      </c>
    </row>
    <row r="103" spans="1:20" x14ac:dyDescent="0.3">
      <c r="A103" s="24" t="s">
        <v>209</v>
      </c>
      <c r="B103" s="24" t="s">
        <v>46</v>
      </c>
      <c r="C103" s="24" t="s">
        <v>59</v>
      </c>
      <c r="D103" s="25">
        <v>12.7</v>
      </c>
      <c r="E103" s="24">
        <v>78</v>
      </c>
      <c r="F103" s="24" t="s">
        <v>63</v>
      </c>
      <c r="G103" s="24" t="s">
        <v>67</v>
      </c>
      <c r="H103" s="24" t="s">
        <v>68</v>
      </c>
      <c r="I103" s="24">
        <v>50</v>
      </c>
      <c r="J103" s="24">
        <v>45</v>
      </c>
      <c r="K103" s="24">
        <v>57</v>
      </c>
      <c r="L103" s="24">
        <v>43</v>
      </c>
      <c r="M103" s="24">
        <v>60</v>
      </c>
      <c r="N103" s="26">
        <f t="shared" si="1"/>
        <v>51</v>
      </c>
      <c r="O103" s="11" t="str">
        <f>LOOKUP(N103,Settings!$A$10:$A$14,Settings!$B$10:$B$14)</f>
        <v>D</v>
      </c>
      <c r="P103" s="11" t="str">
        <f>IF(N103&gt;=Settings!$B$3,"Pass","Fail")</f>
        <v>Pass</v>
      </c>
      <c r="Q103" s="11" t="str">
        <f>LOOKUP(D103,Settings!$A$19:$A$23,Settings!$B$19:$B$23)</f>
        <v>10 to 14 hrs</v>
      </c>
      <c r="R103" s="11" t="str">
        <f>LOOKUP(E103,Settings!$A$28:$A$31,Settings!$B$28:$B$31)</f>
        <v>75 to 84%</v>
      </c>
      <c r="S103" s="11" t="str">
        <f>IF(OR(N103&lt;Settings!$B$4,E103&lt;Settings!$B$5),"Yes","No")</f>
        <v>Yes</v>
      </c>
      <c r="T103" s="11">
        <f>RANK(N103,$N$2:$N$301,0)+COUNTIF($N$2:N103,N103)-1</f>
        <v>258</v>
      </c>
    </row>
    <row r="104" spans="1:20" x14ac:dyDescent="0.3">
      <c r="A104" s="24" t="s">
        <v>210</v>
      </c>
      <c r="B104" s="24" t="s">
        <v>45</v>
      </c>
      <c r="C104" s="24" t="s">
        <v>59</v>
      </c>
      <c r="D104" s="25">
        <v>7.9</v>
      </c>
      <c r="E104" s="24">
        <v>96</v>
      </c>
      <c r="F104" s="24" t="s">
        <v>62</v>
      </c>
      <c r="G104" s="24" t="s">
        <v>67</v>
      </c>
      <c r="H104" s="24" t="s">
        <v>68</v>
      </c>
      <c r="I104" s="24">
        <v>63</v>
      </c>
      <c r="J104" s="24">
        <v>64</v>
      </c>
      <c r="K104" s="24">
        <v>79</v>
      </c>
      <c r="L104" s="24">
        <v>68</v>
      </c>
      <c r="M104" s="24">
        <v>62</v>
      </c>
      <c r="N104" s="26">
        <f t="shared" si="1"/>
        <v>67.2</v>
      </c>
      <c r="O104" s="11" t="str">
        <f>LOOKUP(N104,Settings!$A$10:$A$14,Settings!$B$10:$B$14)</f>
        <v>C</v>
      </c>
      <c r="P104" s="11" t="str">
        <f>IF(N104&gt;=Settings!$B$3,"Pass","Fail")</f>
        <v>Pass</v>
      </c>
      <c r="Q104" s="11" t="str">
        <f>LOOKUP(D104,Settings!$A$19:$A$23,Settings!$B$19:$B$23)</f>
        <v>5 to 9 hrs</v>
      </c>
      <c r="R104" s="11" t="str">
        <f>LOOKUP(E104,Settings!$A$28:$A$31,Settings!$B$28:$B$31)</f>
        <v>95 to 100%</v>
      </c>
      <c r="S104" s="11" t="str">
        <f>IF(OR(N104&lt;Settings!$B$4,E104&lt;Settings!$B$5),"Yes","No")</f>
        <v>No</v>
      </c>
      <c r="T104" s="11">
        <f>RANK(N104,$N$2:$N$301,0)+COUNTIF($N$2:N104,N104)-1</f>
        <v>88</v>
      </c>
    </row>
    <row r="105" spans="1:20" x14ac:dyDescent="0.3">
      <c r="A105" s="24" t="s">
        <v>211</v>
      </c>
      <c r="B105" s="24" t="s">
        <v>46</v>
      </c>
      <c r="C105" s="24" t="s">
        <v>57</v>
      </c>
      <c r="D105" s="25">
        <v>6.3</v>
      </c>
      <c r="E105" s="24">
        <v>92</v>
      </c>
      <c r="F105" s="24" t="s">
        <v>64</v>
      </c>
      <c r="G105" s="24" t="s">
        <v>67</v>
      </c>
      <c r="H105" s="24" t="s">
        <v>67</v>
      </c>
      <c r="I105" s="24">
        <v>59</v>
      </c>
      <c r="J105" s="24">
        <v>68</v>
      </c>
      <c r="K105" s="24">
        <v>65</v>
      </c>
      <c r="L105" s="24">
        <v>59</v>
      </c>
      <c r="M105" s="24">
        <v>68</v>
      </c>
      <c r="N105" s="26">
        <f t="shared" si="1"/>
        <v>63.8</v>
      </c>
      <c r="O105" s="11" t="str">
        <f>LOOKUP(N105,Settings!$A$10:$A$14,Settings!$B$10:$B$14)</f>
        <v>C</v>
      </c>
      <c r="P105" s="11" t="str">
        <f>IF(N105&gt;=Settings!$B$3,"Pass","Fail")</f>
        <v>Pass</v>
      </c>
      <c r="Q105" s="11" t="str">
        <f>LOOKUP(D105,Settings!$A$19:$A$23,Settings!$B$19:$B$23)</f>
        <v>5 to 9 hrs</v>
      </c>
      <c r="R105" s="11" t="str">
        <f>LOOKUP(E105,Settings!$A$28:$A$31,Settings!$B$28:$B$31)</f>
        <v>85 to 94%</v>
      </c>
      <c r="S105" s="11" t="str">
        <f>IF(OR(N105&lt;Settings!$B$4,E105&lt;Settings!$B$5),"Yes","No")</f>
        <v>No</v>
      </c>
      <c r="T105" s="11">
        <f>RANK(N105,$N$2:$N$301,0)+COUNTIF($N$2:N105,N105)-1</f>
        <v>131</v>
      </c>
    </row>
    <row r="106" spans="1:20" x14ac:dyDescent="0.3">
      <c r="A106" s="24" t="s">
        <v>212</v>
      </c>
      <c r="B106" s="24" t="s">
        <v>46</v>
      </c>
      <c r="C106" s="24" t="s">
        <v>59</v>
      </c>
      <c r="D106" s="25">
        <v>7.3</v>
      </c>
      <c r="E106" s="24">
        <v>87</v>
      </c>
      <c r="F106" s="24" t="s">
        <v>62</v>
      </c>
      <c r="G106" s="24" t="s">
        <v>67</v>
      </c>
      <c r="H106" s="24" t="s">
        <v>68</v>
      </c>
      <c r="I106" s="24">
        <v>56</v>
      </c>
      <c r="J106" s="24">
        <v>53</v>
      </c>
      <c r="K106" s="24">
        <v>56</v>
      </c>
      <c r="L106" s="24">
        <v>61</v>
      </c>
      <c r="M106" s="24">
        <v>58</v>
      </c>
      <c r="N106" s="26">
        <f t="shared" si="1"/>
        <v>56.8</v>
      </c>
      <c r="O106" s="11" t="str">
        <f>LOOKUP(N106,Settings!$A$10:$A$14,Settings!$B$10:$B$14)</f>
        <v>D</v>
      </c>
      <c r="P106" s="11" t="str">
        <f>IF(N106&gt;=Settings!$B$3,"Pass","Fail")</f>
        <v>Pass</v>
      </c>
      <c r="Q106" s="11" t="str">
        <f>LOOKUP(D106,Settings!$A$19:$A$23,Settings!$B$19:$B$23)</f>
        <v>5 to 9 hrs</v>
      </c>
      <c r="R106" s="11" t="str">
        <f>LOOKUP(E106,Settings!$A$28:$A$31,Settings!$B$28:$B$31)</f>
        <v>85 to 94%</v>
      </c>
      <c r="S106" s="11" t="str">
        <f>IF(OR(N106&lt;Settings!$B$4,E106&lt;Settings!$B$5),"Yes","No")</f>
        <v>No</v>
      </c>
      <c r="T106" s="11">
        <f>RANK(N106,$N$2:$N$301,0)+COUNTIF($N$2:N106,N106)-1</f>
        <v>205</v>
      </c>
    </row>
    <row r="107" spans="1:20" x14ac:dyDescent="0.3">
      <c r="A107" s="24" t="s">
        <v>213</v>
      </c>
      <c r="B107" s="24" t="s">
        <v>46</v>
      </c>
      <c r="C107" s="24" t="s">
        <v>59</v>
      </c>
      <c r="D107" s="25">
        <v>8.8000000000000007</v>
      </c>
      <c r="E107" s="24">
        <v>86</v>
      </c>
      <c r="F107" s="24" t="s">
        <v>63</v>
      </c>
      <c r="G107" s="24" t="s">
        <v>67</v>
      </c>
      <c r="H107" s="24" t="s">
        <v>68</v>
      </c>
      <c r="I107" s="24">
        <v>62</v>
      </c>
      <c r="J107" s="24">
        <v>59</v>
      </c>
      <c r="K107" s="24">
        <v>65</v>
      </c>
      <c r="L107" s="24">
        <v>58</v>
      </c>
      <c r="M107" s="24">
        <v>57</v>
      </c>
      <c r="N107" s="26">
        <f t="shared" si="1"/>
        <v>60.2</v>
      </c>
      <c r="O107" s="11" t="str">
        <f>LOOKUP(N107,Settings!$A$10:$A$14,Settings!$B$10:$B$14)</f>
        <v>C</v>
      </c>
      <c r="P107" s="11" t="str">
        <f>IF(N107&gt;=Settings!$B$3,"Pass","Fail")</f>
        <v>Pass</v>
      </c>
      <c r="Q107" s="11" t="str">
        <f>LOOKUP(D107,Settings!$A$19:$A$23,Settings!$B$19:$B$23)</f>
        <v>5 to 9 hrs</v>
      </c>
      <c r="R107" s="11" t="str">
        <f>LOOKUP(E107,Settings!$A$28:$A$31,Settings!$B$28:$B$31)</f>
        <v>85 to 94%</v>
      </c>
      <c r="S107" s="11" t="str">
        <f>IF(OR(N107&lt;Settings!$B$4,E107&lt;Settings!$B$5),"Yes","No")</f>
        <v>No</v>
      </c>
      <c r="T107" s="11">
        <f>RANK(N107,$N$2:$N$301,0)+COUNTIF($N$2:N107,N107)-1</f>
        <v>175</v>
      </c>
    </row>
    <row r="108" spans="1:20" x14ac:dyDescent="0.3">
      <c r="A108" s="24" t="s">
        <v>214</v>
      </c>
      <c r="B108" s="24" t="s">
        <v>45</v>
      </c>
      <c r="C108" s="24" t="s">
        <v>57</v>
      </c>
      <c r="D108" s="25">
        <v>6.2</v>
      </c>
      <c r="E108" s="24">
        <v>83</v>
      </c>
      <c r="F108" s="24" t="s">
        <v>64</v>
      </c>
      <c r="G108" s="24" t="s">
        <v>68</v>
      </c>
      <c r="H108" s="24" t="s">
        <v>68</v>
      </c>
      <c r="I108" s="24">
        <v>65</v>
      </c>
      <c r="J108" s="24">
        <v>60</v>
      </c>
      <c r="K108" s="24">
        <v>69</v>
      </c>
      <c r="L108" s="24">
        <v>70</v>
      </c>
      <c r="M108" s="24">
        <v>67</v>
      </c>
      <c r="N108" s="26">
        <f t="shared" si="1"/>
        <v>66.2</v>
      </c>
      <c r="O108" s="11" t="str">
        <f>LOOKUP(N108,Settings!$A$10:$A$14,Settings!$B$10:$B$14)</f>
        <v>C</v>
      </c>
      <c r="P108" s="11" t="str">
        <f>IF(N108&gt;=Settings!$B$3,"Pass","Fail")</f>
        <v>Pass</v>
      </c>
      <c r="Q108" s="11" t="str">
        <f>LOOKUP(D108,Settings!$A$19:$A$23,Settings!$B$19:$B$23)</f>
        <v>5 to 9 hrs</v>
      </c>
      <c r="R108" s="11" t="str">
        <f>LOOKUP(E108,Settings!$A$28:$A$31,Settings!$B$28:$B$31)</f>
        <v>75 to 84%</v>
      </c>
      <c r="S108" s="11" t="str">
        <f>IF(OR(N108&lt;Settings!$B$4,E108&lt;Settings!$B$5),"Yes","No")</f>
        <v>No</v>
      </c>
      <c r="T108" s="11">
        <f>RANK(N108,$N$2:$N$301,0)+COUNTIF($N$2:N108,N108)-1</f>
        <v>100</v>
      </c>
    </row>
    <row r="109" spans="1:20" x14ac:dyDescent="0.3">
      <c r="A109" s="24" t="s">
        <v>215</v>
      </c>
      <c r="B109" s="24" t="s">
        <v>45</v>
      </c>
      <c r="C109" s="24" t="s">
        <v>59</v>
      </c>
      <c r="D109" s="25">
        <v>12.8</v>
      </c>
      <c r="E109" s="24">
        <v>92</v>
      </c>
      <c r="F109" s="24" t="s">
        <v>64</v>
      </c>
      <c r="G109" s="24" t="s">
        <v>67</v>
      </c>
      <c r="H109" s="24" t="s">
        <v>68</v>
      </c>
      <c r="I109" s="24">
        <v>67</v>
      </c>
      <c r="J109" s="24">
        <v>73</v>
      </c>
      <c r="K109" s="24">
        <v>62</v>
      </c>
      <c r="L109" s="24">
        <v>60</v>
      </c>
      <c r="M109" s="24">
        <v>53</v>
      </c>
      <c r="N109" s="26">
        <f t="shared" si="1"/>
        <v>63</v>
      </c>
      <c r="O109" s="11" t="str">
        <f>LOOKUP(N109,Settings!$A$10:$A$14,Settings!$B$10:$B$14)</f>
        <v>C</v>
      </c>
      <c r="P109" s="11" t="str">
        <f>IF(N109&gt;=Settings!$B$3,"Pass","Fail")</f>
        <v>Pass</v>
      </c>
      <c r="Q109" s="11" t="str">
        <f>LOOKUP(D109,Settings!$A$19:$A$23,Settings!$B$19:$B$23)</f>
        <v>10 to 14 hrs</v>
      </c>
      <c r="R109" s="11" t="str">
        <f>LOOKUP(E109,Settings!$A$28:$A$31,Settings!$B$28:$B$31)</f>
        <v>85 to 94%</v>
      </c>
      <c r="S109" s="11" t="str">
        <f>IF(OR(N109&lt;Settings!$B$4,E109&lt;Settings!$B$5),"Yes","No")</f>
        <v>No</v>
      </c>
      <c r="T109" s="11">
        <f>RANK(N109,$N$2:$N$301,0)+COUNTIF($N$2:N109,N109)-1</f>
        <v>138</v>
      </c>
    </row>
    <row r="110" spans="1:20" x14ac:dyDescent="0.3">
      <c r="A110" s="24" t="s">
        <v>216</v>
      </c>
      <c r="B110" s="24" t="s">
        <v>45</v>
      </c>
      <c r="C110" s="24" t="s">
        <v>57</v>
      </c>
      <c r="D110" s="25">
        <v>15.6</v>
      </c>
      <c r="E110" s="24">
        <v>84</v>
      </c>
      <c r="F110" s="24" t="s">
        <v>63</v>
      </c>
      <c r="G110" s="24" t="s">
        <v>68</v>
      </c>
      <c r="H110" s="24" t="s">
        <v>67</v>
      </c>
      <c r="I110" s="24">
        <v>64</v>
      </c>
      <c r="J110" s="24">
        <v>68</v>
      </c>
      <c r="K110" s="24">
        <v>73</v>
      </c>
      <c r="L110" s="24">
        <v>64</v>
      </c>
      <c r="M110" s="24">
        <v>49</v>
      </c>
      <c r="N110" s="26">
        <f t="shared" si="1"/>
        <v>63.6</v>
      </c>
      <c r="O110" s="11" t="str">
        <f>LOOKUP(N110,Settings!$A$10:$A$14,Settings!$B$10:$B$14)</f>
        <v>C</v>
      </c>
      <c r="P110" s="11" t="str">
        <f>IF(N110&gt;=Settings!$B$3,"Pass","Fail")</f>
        <v>Pass</v>
      </c>
      <c r="Q110" s="11" t="str">
        <f>LOOKUP(D110,Settings!$A$19:$A$23,Settings!$B$19:$B$23)</f>
        <v>15 to 19 hrs</v>
      </c>
      <c r="R110" s="11" t="str">
        <f>LOOKUP(E110,Settings!$A$28:$A$31,Settings!$B$28:$B$31)</f>
        <v>75 to 84%</v>
      </c>
      <c r="S110" s="11" t="str">
        <f>IF(OR(N110&lt;Settings!$B$4,E110&lt;Settings!$B$5),"Yes","No")</f>
        <v>No</v>
      </c>
      <c r="T110" s="11">
        <f>RANK(N110,$N$2:$N$301,0)+COUNTIF($N$2:N110,N110)-1</f>
        <v>132</v>
      </c>
    </row>
    <row r="111" spans="1:20" x14ac:dyDescent="0.3">
      <c r="A111" s="24" t="s">
        <v>217</v>
      </c>
      <c r="B111" s="24" t="s">
        <v>46</v>
      </c>
      <c r="C111" s="24" t="s">
        <v>59</v>
      </c>
      <c r="D111" s="25">
        <v>4.0999999999999996</v>
      </c>
      <c r="E111" s="24">
        <v>86</v>
      </c>
      <c r="F111" s="24" t="s">
        <v>63</v>
      </c>
      <c r="G111" s="24" t="s">
        <v>67</v>
      </c>
      <c r="H111" s="24" t="s">
        <v>68</v>
      </c>
      <c r="I111" s="24">
        <v>51</v>
      </c>
      <c r="J111" s="24">
        <v>52</v>
      </c>
      <c r="K111" s="24">
        <v>44</v>
      </c>
      <c r="L111" s="24">
        <v>51</v>
      </c>
      <c r="M111" s="24">
        <v>52</v>
      </c>
      <c r="N111" s="26">
        <f t="shared" si="1"/>
        <v>50</v>
      </c>
      <c r="O111" s="11" t="str">
        <f>LOOKUP(N111,Settings!$A$10:$A$14,Settings!$B$10:$B$14)</f>
        <v>D</v>
      </c>
      <c r="P111" s="11" t="str">
        <f>IF(N111&gt;=Settings!$B$3,"Pass","Fail")</f>
        <v>Pass</v>
      </c>
      <c r="Q111" s="11" t="str">
        <f>LOOKUP(D111,Settings!$A$19:$A$23,Settings!$B$19:$B$23)</f>
        <v>0 to 4 hrs</v>
      </c>
      <c r="R111" s="11" t="str">
        <f>LOOKUP(E111,Settings!$A$28:$A$31,Settings!$B$28:$B$31)</f>
        <v>85 to 94%</v>
      </c>
      <c r="S111" s="11" t="str">
        <f>IF(OR(N111&lt;Settings!$B$4,E111&lt;Settings!$B$5),"Yes","No")</f>
        <v>Yes</v>
      </c>
      <c r="T111" s="11">
        <f>RANK(N111,$N$2:$N$301,0)+COUNTIF($N$2:N111,N111)-1</f>
        <v>267</v>
      </c>
    </row>
    <row r="112" spans="1:20" x14ac:dyDescent="0.3">
      <c r="A112" s="24" t="s">
        <v>218</v>
      </c>
      <c r="B112" s="24" t="s">
        <v>45</v>
      </c>
      <c r="C112" s="24" t="s">
        <v>58</v>
      </c>
      <c r="D112" s="25">
        <v>12.1</v>
      </c>
      <c r="E112" s="24">
        <v>93</v>
      </c>
      <c r="F112" s="24" t="s">
        <v>64</v>
      </c>
      <c r="G112" s="24" t="s">
        <v>67</v>
      </c>
      <c r="H112" s="24" t="s">
        <v>67</v>
      </c>
      <c r="I112" s="24">
        <v>61</v>
      </c>
      <c r="J112" s="24">
        <v>73</v>
      </c>
      <c r="K112" s="24">
        <v>69</v>
      </c>
      <c r="L112" s="24">
        <v>65</v>
      </c>
      <c r="M112" s="24">
        <v>67</v>
      </c>
      <c r="N112" s="26">
        <f t="shared" si="1"/>
        <v>67</v>
      </c>
      <c r="O112" s="11" t="str">
        <f>LOOKUP(N112,Settings!$A$10:$A$14,Settings!$B$10:$B$14)</f>
        <v>C</v>
      </c>
      <c r="P112" s="11" t="str">
        <f>IF(N112&gt;=Settings!$B$3,"Pass","Fail")</f>
        <v>Pass</v>
      </c>
      <c r="Q112" s="11" t="str">
        <f>LOOKUP(D112,Settings!$A$19:$A$23,Settings!$B$19:$B$23)</f>
        <v>10 to 14 hrs</v>
      </c>
      <c r="R112" s="11" t="str">
        <f>LOOKUP(E112,Settings!$A$28:$A$31,Settings!$B$28:$B$31)</f>
        <v>85 to 94%</v>
      </c>
      <c r="S112" s="11" t="str">
        <f>IF(OR(N112&lt;Settings!$B$4,E112&lt;Settings!$B$5),"Yes","No")</f>
        <v>No</v>
      </c>
      <c r="T112" s="11">
        <f>RANK(N112,$N$2:$N$301,0)+COUNTIF($N$2:N112,N112)-1</f>
        <v>91</v>
      </c>
    </row>
    <row r="113" spans="1:20" x14ac:dyDescent="0.3">
      <c r="A113" s="24" t="s">
        <v>219</v>
      </c>
      <c r="B113" s="24" t="s">
        <v>45</v>
      </c>
      <c r="C113" s="24" t="s">
        <v>58</v>
      </c>
      <c r="D113" s="25">
        <v>10.9</v>
      </c>
      <c r="E113" s="24">
        <v>81</v>
      </c>
      <c r="F113" s="24" t="s">
        <v>63</v>
      </c>
      <c r="G113" s="24" t="s">
        <v>67</v>
      </c>
      <c r="H113" s="24" t="s">
        <v>68</v>
      </c>
      <c r="I113" s="24">
        <v>51</v>
      </c>
      <c r="J113" s="24">
        <v>60</v>
      </c>
      <c r="K113" s="24">
        <v>55</v>
      </c>
      <c r="L113" s="24">
        <v>46</v>
      </c>
      <c r="M113" s="24">
        <v>57</v>
      </c>
      <c r="N113" s="26">
        <f t="shared" si="1"/>
        <v>53.8</v>
      </c>
      <c r="O113" s="11" t="str">
        <f>LOOKUP(N113,Settings!$A$10:$A$14,Settings!$B$10:$B$14)</f>
        <v>D</v>
      </c>
      <c r="P113" s="11" t="str">
        <f>IF(N113&gt;=Settings!$B$3,"Pass","Fail")</f>
        <v>Pass</v>
      </c>
      <c r="Q113" s="11" t="str">
        <f>LOOKUP(D113,Settings!$A$19:$A$23,Settings!$B$19:$B$23)</f>
        <v>10 to 14 hrs</v>
      </c>
      <c r="R113" s="11" t="str">
        <f>LOOKUP(E113,Settings!$A$28:$A$31,Settings!$B$28:$B$31)</f>
        <v>75 to 84%</v>
      </c>
      <c r="S113" s="11" t="str">
        <f>IF(OR(N113&lt;Settings!$B$4,E113&lt;Settings!$B$5),"Yes","No")</f>
        <v>Yes</v>
      </c>
      <c r="T113" s="11">
        <f>RANK(N113,$N$2:$N$301,0)+COUNTIF($N$2:N113,N113)-1</f>
        <v>236</v>
      </c>
    </row>
    <row r="114" spans="1:20" x14ac:dyDescent="0.3">
      <c r="A114" s="24" t="s">
        <v>220</v>
      </c>
      <c r="B114" s="24" t="s">
        <v>45</v>
      </c>
      <c r="C114" s="24" t="s">
        <v>57</v>
      </c>
      <c r="D114" s="25">
        <v>13.7</v>
      </c>
      <c r="E114" s="24">
        <v>82</v>
      </c>
      <c r="F114" s="24" t="s">
        <v>64</v>
      </c>
      <c r="G114" s="24" t="s">
        <v>67</v>
      </c>
      <c r="H114" s="24" t="s">
        <v>68</v>
      </c>
      <c r="I114" s="24">
        <v>66</v>
      </c>
      <c r="J114" s="24">
        <v>66</v>
      </c>
      <c r="K114" s="24">
        <v>55</v>
      </c>
      <c r="L114" s="24">
        <v>58</v>
      </c>
      <c r="M114" s="24">
        <v>68</v>
      </c>
      <c r="N114" s="26">
        <f t="shared" si="1"/>
        <v>62.6</v>
      </c>
      <c r="O114" s="11" t="str">
        <f>LOOKUP(N114,Settings!$A$10:$A$14,Settings!$B$10:$B$14)</f>
        <v>C</v>
      </c>
      <c r="P114" s="11" t="str">
        <f>IF(N114&gt;=Settings!$B$3,"Pass","Fail")</f>
        <v>Pass</v>
      </c>
      <c r="Q114" s="11" t="str">
        <f>LOOKUP(D114,Settings!$A$19:$A$23,Settings!$B$19:$B$23)</f>
        <v>10 to 14 hrs</v>
      </c>
      <c r="R114" s="11" t="str">
        <f>LOOKUP(E114,Settings!$A$28:$A$31,Settings!$B$28:$B$31)</f>
        <v>75 to 84%</v>
      </c>
      <c r="S114" s="11" t="str">
        <f>IF(OR(N114&lt;Settings!$B$4,E114&lt;Settings!$B$5),"Yes","No")</f>
        <v>No</v>
      </c>
      <c r="T114" s="11">
        <f>RANK(N114,$N$2:$N$301,0)+COUNTIF($N$2:N114,N114)-1</f>
        <v>144</v>
      </c>
    </row>
    <row r="115" spans="1:20" x14ac:dyDescent="0.3">
      <c r="A115" s="24" t="s">
        <v>221</v>
      </c>
      <c r="B115" s="24" t="s">
        <v>46</v>
      </c>
      <c r="C115" s="24" t="s">
        <v>59</v>
      </c>
      <c r="D115" s="25">
        <v>11.9</v>
      </c>
      <c r="E115" s="24">
        <v>76</v>
      </c>
      <c r="F115" s="24" t="s">
        <v>64</v>
      </c>
      <c r="G115" s="24" t="s">
        <v>68</v>
      </c>
      <c r="H115" s="24" t="s">
        <v>67</v>
      </c>
      <c r="I115" s="24">
        <v>60</v>
      </c>
      <c r="J115" s="24">
        <v>52</v>
      </c>
      <c r="K115" s="24">
        <v>59</v>
      </c>
      <c r="L115" s="24">
        <v>51</v>
      </c>
      <c r="M115" s="24">
        <v>43</v>
      </c>
      <c r="N115" s="26">
        <f t="shared" si="1"/>
        <v>53</v>
      </c>
      <c r="O115" s="11" t="str">
        <f>LOOKUP(N115,Settings!$A$10:$A$14,Settings!$B$10:$B$14)</f>
        <v>D</v>
      </c>
      <c r="P115" s="11" t="str">
        <f>IF(N115&gt;=Settings!$B$3,"Pass","Fail")</f>
        <v>Pass</v>
      </c>
      <c r="Q115" s="11" t="str">
        <f>LOOKUP(D115,Settings!$A$19:$A$23,Settings!$B$19:$B$23)</f>
        <v>10 to 14 hrs</v>
      </c>
      <c r="R115" s="11" t="str">
        <f>LOOKUP(E115,Settings!$A$28:$A$31,Settings!$B$28:$B$31)</f>
        <v>75 to 84%</v>
      </c>
      <c r="S115" s="11" t="str">
        <f>IF(OR(N115&lt;Settings!$B$4,E115&lt;Settings!$B$5),"Yes","No")</f>
        <v>Yes</v>
      </c>
      <c r="T115" s="11">
        <f>RANK(N115,$N$2:$N$301,0)+COUNTIF($N$2:N115,N115)-1</f>
        <v>243</v>
      </c>
    </row>
    <row r="116" spans="1:20" x14ac:dyDescent="0.3">
      <c r="A116" s="24" t="s">
        <v>222</v>
      </c>
      <c r="B116" s="24" t="s">
        <v>45</v>
      </c>
      <c r="C116" s="24" t="s">
        <v>57</v>
      </c>
      <c r="D116" s="25">
        <v>4.7</v>
      </c>
      <c r="E116" s="24">
        <v>75</v>
      </c>
      <c r="F116" s="24" t="s">
        <v>64</v>
      </c>
      <c r="G116" s="24" t="s">
        <v>67</v>
      </c>
      <c r="H116" s="24" t="s">
        <v>67</v>
      </c>
      <c r="I116" s="24">
        <v>49</v>
      </c>
      <c r="J116" s="24">
        <v>55</v>
      </c>
      <c r="K116" s="24">
        <v>62</v>
      </c>
      <c r="L116" s="24">
        <v>57</v>
      </c>
      <c r="M116" s="24">
        <v>47</v>
      </c>
      <c r="N116" s="26">
        <f t="shared" si="1"/>
        <v>54</v>
      </c>
      <c r="O116" s="11" t="str">
        <f>LOOKUP(N116,Settings!$A$10:$A$14,Settings!$B$10:$B$14)</f>
        <v>D</v>
      </c>
      <c r="P116" s="11" t="str">
        <f>IF(N116&gt;=Settings!$B$3,"Pass","Fail")</f>
        <v>Pass</v>
      </c>
      <c r="Q116" s="11" t="str">
        <f>LOOKUP(D116,Settings!$A$19:$A$23,Settings!$B$19:$B$23)</f>
        <v>0 to 4 hrs</v>
      </c>
      <c r="R116" s="11" t="str">
        <f>LOOKUP(E116,Settings!$A$28:$A$31,Settings!$B$28:$B$31)</f>
        <v>75 to 84%</v>
      </c>
      <c r="S116" s="11" t="str">
        <f>IF(OR(N116&lt;Settings!$B$4,E116&lt;Settings!$B$5),"Yes","No")</f>
        <v>Yes</v>
      </c>
      <c r="T116" s="11">
        <f>RANK(N116,$N$2:$N$301,0)+COUNTIF($N$2:N116,N116)-1</f>
        <v>233</v>
      </c>
    </row>
    <row r="117" spans="1:20" x14ac:dyDescent="0.3">
      <c r="A117" s="24" t="s">
        <v>223</v>
      </c>
      <c r="B117" s="24" t="s">
        <v>46</v>
      </c>
      <c r="C117" s="24" t="s">
        <v>57</v>
      </c>
      <c r="D117" s="25">
        <v>5.7</v>
      </c>
      <c r="E117" s="24">
        <v>69</v>
      </c>
      <c r="F117" s="24" t="s">
        <v>62</v>
      </c>
      <c r="G117" s="24" t="s">
        <v>67</v>
      </c>
      <c r="H117" s="24" t="s">
        <v>68</v>
      </c>
      <c r="I117" s="24">
        <v>49</v>
      </c>
      <c r="J117" s="24">
        <v>62</v>
      </c>
      <c r="K117" s="24">
        <v>42</v>
      </c>
      <c r="L117" s="24">
        <v>44</v>
      </c>
      <c r="M117" s="24">
        <v>61</v>
      </c>
      <c r="N117" s="26">
        <f t="shared" si="1"/>
        <v>51.6</v>
      </c>
      <c r="O117" s="11" t="str">
        <f>LOOKUP(N117,Settings!$A$10:$A$14,Settings!$B$10:$B$14)</f>
        <v>D</v>
      </c>
      <c r="P117" s="11" t="str">
        <f>IF(N117&gt;=Settings!$B$3,"Pass","Fail")</f>
        <v>Pass</v>
      </c>
      <c r="Q117" s="11" t="str">
        <f>LOOKUP(D117,Settings!$A$19:$A$23,Settings!$B$19:$B$23)</f>
        <v>5 to 9 hrs</v>
      </c>
      <c r="R117" s="11" t="str">
        <f>LOOKUP(E117,Settings!$A$28:$A$31,Settings!$B$28:$B$31)</f>
        <v>Below 75%</v>
      </c>
      <c r="S117" s="11" t="str">
        <f>IF(OR(N117&lt;Settings!$B$4,E117&lt;Settings!$B$5),"Yes","No")</f>
        <v>Yes</v>
      </c>
      <c r="T117" s="11">
        <f>RANK(N117,$N$2:$N$301,0)+COUNTIF($N$2:N117,N117)-1</f>
        <v>250</v>
      </c>
    </row>
    <row r="118" spans="1:20" x14ac:dyDescent="0.3">
      <c r="A118" s="24" t="s">
        <v>224</v>
      </c>
      <c r="B118" s="24" t="s">
        <v>46</v>
      </c>
      <c r="C118" s="24" t="s">
        <v>57</v>
      </c>
      <c r="D118" s="25">
        <v>12.1</v>
      </c>
      <c r="E118" s="24">
        <v>92</v>
      </c>
      <c r="F118" s="24" t="s">
        <v>63</v>
      </c>
      <c r="G118" s="24" t="s">
        <v>67</v>
      </c>
      <c r="H118" s="24" t="s">
        <v>68</v>
      </c>
      <c r="I118" s="24">
        <v>57</v>
      </c>
      <c r="J118" s="24">
        <v>69</v>
      </c>
      <c r="K118" s="24">
        <v>67</v>
      </c>
      <c r="L118" s="24">
        <v>71</v>
      </c>
      <c r="M118" s="24">
        <v>62</v>
      </c>
      <c r="N118" s="26">
        <f t="shared" si="1"/>
        <v>65.2</v>
      </c>
      <c r="O118" s="11" t="str">
        <f>LOOKUP(N118,Settings!$A$10:$A$14,Settings!$B$10:$B$14)</f>
        <v>C</v>
      </c>
      <c r="P118" s="11" t="str">
        <f>IF(N118&gt;=Settings!$B$3,"Pass","Fail")</f>
        <v>Pass</v>
      </c>
      <c r="Q118" s="11" t="str">
        <f>LOOKUP(D118,Settings!$A$19:$A$23,Settings!$B$19:$B$23)</f>
        <v>10 to 14 hrs</v>
      </c>
      <c r="R118" s="11" t="str">
        <f>LOOKUP(E118,Settings!$A$28:$A$31,Settings!$B$28:$B$31)</f>
        <v>85 to 94%</v>
      </c>
      <c r="S118" s="11" t="str">
        <f>IF(OR(N118&lt;Settings!$B$4,E118&lt;Settings!$B$5),"Yes","No")</f>
        <v>No</v>
      </c>
      <c r="T118" s="11">
        <f>RANK(N118,$N$2:$N$301,0)+COUNTIF($N$2:N118,N118)-1</f>
        <v>112</v>
      </c>
    </row>
    <row r="119" spans="1:20" x14ac:dyDescent="0.3">
      <c r="A119" s="24" t="s">
        <v>225</v>
      </c>
      <c r="B119" s="24" t="s">
        <v>46</v>
      </c>
      <c r="C119" s="24" t="s">
        <v>59</v>
      </c>
      <c r="D119" s="25">
        <v>17.100000000000001</v>
      </c>
      <c r="E119" s="24">
        <v>100</v>
      </c>
      <c r="F119" s="24" t="s">
        <v>62</v>
      </c>
      <c r="G119" s="24" t="s">
        <v>68</v>
      </c>
      <c r="H119" s="24" t="s">
        <v>67</v>
      </c>
      <c r="I119" s="24">
        <v>76</v>
      </c>
      <c r="J119" s="24">
        <v>68</v>
      </c>
      <c r="K119" s="24">
        <v>62</v>
      </c>
      <c r="L119" s="24">
        <v>71</v>
      </c>
      <c r="M119" s="24">
        <v>76</v>
      </c>
      <c r="N119" s="26">
        <f t="shared" si="1"/>
        <v>70.599999999999994</v>
      </c>
      <c r="O119" s="11" t="str">
        <f>LOOKUP(N119,Settings!$A$10:$A$14,Settings!$B$10:$B$14)</f>
        <v>B</v>
      </c>
      <c r="P119" s="11" t="str">
        <f>IF(N119&gt;=Settings!$B$3,"Pass","Fail")</f>
        <v>Pass</v>
      </c>
      <c r="Q119" s="11" t="str">
        <f>LOOKUP(D119,Settings!$A$19:$A$23,Settings!$B$19:$B$23)</f>
        <v>15 to 19 hrs</v>
      </c>
      <c r="R119" s="11" t="str">
        <f>LOOKUP(E119,Settings!$A$28:$A$31,Settings!$B$28:$B$31)</f>
        <v>95 to 100%</v>
      </c>
      <c r="S119" s="11" t="str">
        <f>IF(OR(N119&lt;Settings!$B$4,E119&lt;Settings!$B$5),"Yes","No")</f>
        <v>No</v>
      </c>
      <c r="T119" s="11">
        <f>RANK(N119,$N$2:$N$301,0)+COUNTIF($N$2:N119,N119)-1</f>
        <v>52</v>
      </c>
    </row>
    <row r="120" spans="1:20" x14ac:dyDescent="0.3">
      <c r="A120" s="24" t="s">
        <v>226</v>
      </c>
      <c r="B120" s="24" t="s">
        <v>45</v>
      </c>
      <c r="C120" s="24" t="s">
        <v>57</v>
      </c>
      <c r="D120" s="25">
        <v>1</v>
      </c>
      <c r="E120" s="24">
        <v>94</v>
      </c>
      <c r="F120" s="24" t="s">
        <v>63</v>
      </c>
      <c r="G120" s="24" t="s">
        <v>67</v>
      </c>
      <c r="H120" s="24" t="s">
        <v>68</v>
      </c>
      <c r="I120" s="24">
        <v>57</v>
      </c>
      <c r="J120" s="24">
        <v>59</v>
      </c>
      <c r="K120" s="24">
        <v>46</v>
      </c>
      <c r="L120" s="24">
        <v>50</v>
      </c>
      <c r="M120" s="24">
        <v>49</v>
      </c>
      <c r="N120" s="26">
        <f t="shared" si="1"/>
        <v>52.2</v>
      </c>
      <c r="O120" s="11" t="str">
        <f>LOOKUP(N120,Settings!$A$10:$A$14,Settings!$B$10:$B$14)</f>
        <v>D</v>
      </c>
      <c r="P120" s="11" t="str">
        <f>IF(N120&gt;=Settings!$B$3,"Pass","Fail")</f>
        <v>Pass</v>
      </c>
      <c r="Q120" s="11" t="str">
        <f>LOOKUP(D120,Settings!$A$19:$A$23,Settings!$B$19:$B$23)</f>
        <v>0 to 4 hrs</v>
      </c>
      <c r="R120" s="11" t="str">
        <f>LOOKUP(E120,Settings!$A$28:$A$31,Settings!$B$28:$B$31)</f>
        <v>85 to 94%</v>
      </c>
      <c r="S120" s="11" t="str">
        <f>IF(OR(N120&lt;Settings!$B$4,E120&lt;Settings!$B$5),"Yes","No")</f>
        <v>Yes</v>
      </c>
      <c r="T120" s="11">
        <f>RANK(N120,$N$2:$N$301,0)+COUNTIF($N$2:N120,N120)-1</f>
        <v>247</v>
      </c>
    </row>
    <row r="121" spans="1:20" x14ac:dyDescent="0.3">
      <c r="A121" s="24" t="s">
        <v>227</v>
      </c>
      <c r="B121" s="24" t="s">
        <v>46</v>
      </c>
      <c r="C121" s="24" t="s">
        <v>59</v>
      </c>
      <c r="D121" s="25">
        <v>13.7</v>
      </c>
      <c r="E121" s="24">
        <v>74</v>
      </c>
      <c r="F121" s="24" t="s">
        <v>64</v>
      </c>
      <c r="G121" s="24" t="s">
        <v>67</v>
      </c>
      <c r="H121" s="24" t="s">
        <v>68</v>
      </c>
      <c r="I121" s="24">
        <v>62</v>
      </c>
      <c r="J121" s="24">
        <v>55</v>
      </c>
      <c r="K121" s="24">
        <v>68</v>
      </c>
      <c r="L121" s="24">
        <v>61</v>
      </c>
      <c r="M121" s="24">
        <v>64</v>
      </c>
      <c r="N121" s="26">
        <f t="shared" si="1"/>
        <v>62</v>
      </c>
      <c r="O121" s="11" t="str">
        <f>LOOKUP(N121,Settings!$A$10:$A$14,Settings!$B$10:$B$14)</f>
        <v>C</v>
      </c>
      <c r="P121" s="11" t="str">
        <f>IF(N121&gt;=Settings!$B$3,"Pass","Fail")</f>
        <v>Pass</v>
      </c>
      <c r="Q121" s="11" t="str">
        <f>LOOKUP(D121,Settings!$A$19:$A$23,Settings!$B$19:$B$23)</f>
        <v>10 to 14 hrs</v>
      </c>
      <c r="R121" s="11" t="str">
        <f>LOOKUP(E121,Settings!$A$28:$A$31,Settings!$B$28:$B$31)</f>
        <v>Below 75%</v>
      </c>
      <c r="S121" s="11" t="str">
        <f>IF(OR(N121&lt;Settings!$B$4,E121&lt;Settings!$B$5),"Yes","No")</f>
        <v>Yes</v>
      </c>
      <c r="T121" s="11">
        <f>RANK(N121,$N$2:$N$301,0)+COUNTIF($N$2:N121,N121)-1</f>
        <v>153</v>
      </c>
    </row>
    <row r="122" spans="1:20" x14ac:dyDescent="0.3">
      <c r="A122" s="24" t="s">
        <v>228</v>
      </c>
      <c r="B122" s="24" t="s">
        <v>46</v>
      </c>
      <c r="C122" s="24" t="s">
        <v>58</v>
      </c>
      <c r="D122" s="25">
        <v>17.899999999999999</v>
      </c>
      <c r="E122" s="24">
        <v>94</v>
      </c>
      <c r="F122" s="24" t="s">
        <v>63</v>
      </c>
      <c r="G122" s="24" t="s">
        <v>68</v>
      </c>
      <c r="H122" s="24" t="s">
        <v>68</v>
      </c>
      <c r="I122" s="24">
        <v>93</v>
      </c>
      <c r="J122" s="24">
        <v>88</v>
      </c>
      <c r="K122" s="24">
        <v>78</v>
      </c>
      <c r="L122" s="24">
        <v>82</v>
      </c>
      <c r="M122" s="24">
        <v>77</v>
      </c>
      <c r="N122" s="26">
        <f t="shared" si="1"/>
        <v>83.6</v>
      </c>
      <c r="O122" s="11" t="str">
        <f>LOOKUP(N122,Settings!$A$10:$A$14,Settings!$B$10:$B$14)</f>
        <v>A</v>
      </c>
      <c r="P122" s="11" t="str">
        <f>IF(N122&gt;=Settings!$B$3,"Pass","Fail")</f>
        <v>Pass</v>
      </c>
      <c r="Q122" s="11" t="str">
        <f>LOOKUP(D122,Settings!$A$19:$A$23,Settings!$B$19:$B$23)</f>
        <v>15 to 19 hrs</v>
      </c>
      <c r="R122" s="11" t="str">
        <f>LOOKUP(E122,Settings!$A$28:$A$31,Settings!$B$28:$B$31)</f>
        <v>85 to 94%</v>
      </c>
      <c r="S122" s="11" t="str">
        <f>IF(OR(N122&lt;Settings!$B$4,E122&lt;Settings!$B$5),"Yes","No")</f>
        <v>No</v>
      </c>
      <c r="T122" s="11">
        <f>RANK(N122,$N$2:$N$301,0)+COUNTIF($N$2:N122,N122)-1</f>
        <v>2</v>
      </c>
    </row>
    <row r="123" spans="1:20" x14ac:dyDescent="0.3">
      <c r="A123" s="24" t="s">
        <v>229</v>
      </c>
      <c r="B123" s="24" t="s">
        <v>46</v>
      </c>
      <c r="C123" s="24" t="s">
        <v>57</v>
      </c>
      <c r="D123" s="25">
        <v>11.2</v>
      </c>
      <c r="E123" s="24">
        <v>97</v>
      </c>
      <c r="F123" s="24" t="s">
        <v>63</v>
      </c>
      <c r="G123" s="24" t="s">
        <v>68</v>
      </c>
      <c r="H123" s="24" t="s">
        <v>68</v>
      </c>
      <c r="I123" s="24">
        <v>60</v>
      </c>
      <c r="J123" s="24">
        <v>58</v>
      </c>
      <c r="K123" s="24">
        <v>57</v>
      </c>
      <c r="L123" s="24">
        <v>66</v>
      </c>
      <c r="M123" s="24">
        <v>67</v>
      </c>
      <c r="N123" s="26">
        <f t="shared" si="1"/>
        <v>61.6</v>
      </c>
      <c r="O123" s="11" t="str">
        <f>LOOKUP(N123,Settings!$A$10:$A$14,Settings!$B$10:$B$14)</f>
        <v>C</v>
      </c>
      <c r="P123" s="11" t="str">
        <f>IF(N123&gt;=Settings!$B$3,"Pass","Fail")</f>
        <v>Pass</v>
      </c>
      <c r="Q123" s="11" t="str">
        <f>LOOKUP(D123,Settings!$A$19:$A$23,Settings!$B$19:$B$23)</f>
        <v>10 to 14 hrs</v>
      </c>
      <c r="R123" s="11" t="str">
        <f>LOOKUP(E123,Settings!$A$28:$A$31,Settings!$B$28:$B$31)</f>
        <v>95 to 100%</v>
      </c>
      <c r="S123" s="11" t="str">
        <f>IF(OR(N123&lt;Settings!$B$4,E123&lt;Settings!$B$5),"Yes","No")</f>
        <v>No</v>
      </c>
      <c r="T123" s="11">
        <f>RANK(N123,$N$2:$N$301,0)+COUNTIF($N$2:N123,N123)-1</f>
        <v>160</v>
      </c>
    </row>
    <row r="124" spans="1:20" x14ac:dyDescent="0.3">
      <c r="A124" s="24" t="s">
        <v>230</v>
      </c>
      <c r="B124" s="24" t="s">
        <v>45</v>
      </c>
      <c r="C124" s="24" t="s">
        <v>57</v>
      </c>
      <c r="D124" s="25">
        <v>14.8</v>
      </c>
      <c r="E124" s="24">
        <v>83</v>
      </c>
      <c r="F124" s="24" t="s">
        <v>62</v>
      </c>
      <c r="G124" s="24" t="s">
        <v>68</v>
      </c>
      <c r="H124" s="24" t="s">
        <v>67</v>
      </c>
      <c r="I124" s="24">
        <v>52</v>
      </c>
      <c r="J124" s="24">
        <v>57</v>
      </c>
      <c r="K124" s="24">
        <v>53</v>
      </c>
      <c r="L124" s="24">
        <v>65</v>
      </c>
      <c r="M124" s="24">
        <v>51</v>
      </c>
      <c r="N124" s="26">
        <f t="shared" si="1"/>
        <v>55.6</v>
      </c>
      <c r="O124" s="11" t="str">
        <f>LOOKUP(N124,Settings!$A$10:$A$14,Settings!$B$10:$B$14)</f>
        <v>D</v>
      </c>
      <c r="P124" s="11" t="str">
        <f>IF(N124&gt;=Settings!$B$3,"Pass","Fail")</f>
        <v>Pass</v>
      </c>
      <c r="Q124" s="11" t="str">
        <f>LOOKUP(D124,Settings!$A$19:$A$23,Settings!$B$19:$B$23)</f>
        <v>10 to 14 hrs</v>
      </c>
      <c r="R124" s="11" t="str">
        <f>LOOKUP(E124,Settings!$A$28:$A$31,Settings!$B$28:$B$31)</f>
        <v>75 to 84%</v>
      </c>
      <c r="S124" s="11" t="str">
        <f>IF(OR(N124&lt;Settings!$B$4,E124&lt;Settings!$B$5),"Yes","No")</f>
        <v>No</v>
      </c>
      <c r="T124" s="11">
        <f>RANK(N124,$N$2:$N$301,0)+COUNTIF($N$2:N124,N124)-1</f>
        <v>221</v>
      </c>
    </row>
    <row r="125" spans="1:20" x14ac:dyDescent="0.3">
      <c r="A125" s="24" t="s">
        <v>231</v>
      </c>
      <c r="B125" s="24" t="s">
        <v>45</v>
      </c>
      <c r="C125" s="24" t="s">
        <v>57</v>
      </c>
      <c r="D125" s="25">
        <v>8.5</v>
      </c>
      <c r="E125" s="24">
        <v>86</v>
      </c>
      <c r="F125" s="24" t="s">
        <v>64</v>
      </c>
      <c r="G125" s="24" t="s">
        <v>67</v>
      </c>
      <c r="H125" s="24" t="s">
        <v>68</v>
      </c>
      <c r="I125" s="24">
        <v>55</v>
      </c>
      <c r="J125" s="24">
        <v>65</v>
      </c>
      <c r="K125" s="24">
        <v>52</v>
      </c>
      <c r="L125" s="24">
        <v>54</v>
      </c>
      <c r="M125" s="24">
        <v>53</v>
      </c>
      <c r="N125" s="26">
        <f t="shared" si="1"/>
        <v>55.8</v>
      </c>
      <c r="O125" s="11" t="str">
        <f>LOOKUP(N125,Settings!$A$10:$A$14,Settings!$B$10:$B$14)</f>
        <v>D</v>
      </c>
      <c r="P125" s="11" t="str">
        <f>IF(N125&gt;=Settings!$B$3,"Pass","Fail")</f>
        <v>Pass</v>
      </c>
      <c r="Q125" s="11" t="str">
        <f>LOOKUP(D125,Settings!$A$19:$A$23,Settings!$B$19:$B$23)</f>
        <v>5 to 9 hrs</v>
      </c>
      <c r="R125" s="11" t="str">
        <f>LOOKUP(E125,Settings!$A$28:$A$31,Settings!$B$28:$B$31)</f>
        <v>85 to 94%</v>
      </c>
      <c r="S125" s="11" t="str">
        <f>IF(OR(N125&lt;Settings!$B$4,E125&lt;Settings!$B$5),"Yes","No")</f>
        <v>No</v>
      </c>
      <c r="T125" s="11">
        <f>RANK(N125,$N$2:$N$301,0)+COUNTIF($N$2:N125,N125)-1</f>
        <v>219</v>
      </c>
    </row>
    <row r="126" spans="1:20" x14ac:dyDescent="0.3">
      <c r="A126" s="24" t="s">
        <v>232</v>
      </c>
      <c r="B126" s="24" t="s">
        <v>45</v>
      </c>
      <c r="C126" s="24" t="s">
        <v>58</v>
      </c>
      <c r="D126" s="25">
        <v>11.4</v>
      </c>
      <c r="E126" s="24">
        <v>70</v>
      </c>
      <c r="F126" s="24" t="s">
        <v>62</v>
      </c>
      <c r="G126" s="24" t="s">
        <v>67</v>
      </c>
      <c r="H126" s="24" t="s">
        <v>67</v>
      </c>
      <c r="I126" s="24">
        <v>45</v>
      </c>
      <c r="J126" s="24">
        <v>52</v>
      </c>
      <c r="K126" s="24">
        <v>44</v>
      </c>
      <c r="L126" s="24">
        <v>48</v>
      </c>
      <c r="M126" s="24">
        <v>40</v>
      </c>
      <c r="N126" s="26">
        <f t="shared" si="1"/>
        <v>45.8</v>
      </c>
      <c r="O126" s="11" t="str">
        <f>LOOKUP(N126,Settings!$A$10:$A$14,Settings!$B$10:$B$14)</f>
        <v>F</v>
      </c>
      <c r="P126" s="11" t="str">
        <f>IF(N126&gt;=Settings!$B$3,"Pass","Fail")</f>
        <v>Fail</v>
      </c>
      <c r="Q126" s="11" t="str">
        <f>LOOKUP(D126,Settings!$A$19:$A$23,Settings!$B$19:$B$23)</f>
        <v>10 to 14 hrs</v>
      </c>
      <c r="R126" s="11" t="str">
        <f>LOOKUP(E126,Settings!$A$28:$A$31,Settings!$B$28:$B$31)</f>
        <v>Below 75%</v>
      </c>
      <c r="S126" s="11" t="str">
        <f>IF(OR(N126&lt;Settings!$B$4,E126&lt;Settings!$B$5),"Yes","No")</f>
        <v>Yes</v>
      </c>
      <c r="T126" s="11">
        <f>RANK(N126,$N$2:$N$301,0)+COUNTIF($N$2:N126,N126)-1</f>
        <v>285</v>
      </c>
    </row>
    <row r="127" spans="1:20" x14ac:dyDescent="0.3">
      <c r="A127" s="24" t="s">
        <v>233</v>
      </c>
      <c r="B127" s="24" t="s">
        <v>45</v>
      </c>
      <c r="C127" s="24" t="s">
        <v>59</v>
      </c>
      <c r="D127" s="25">
        <v>3.9</v>
      </c>
      <c r="E127" s="24">
        <v>86</v>
      </c>
      <c r="F127" s="24" t="s">
        <v>62</v>
      </c>
      <c r="G127" s="24" t="s">
        <v>67</v>
      </c>
      <c r="H127" s="24" t="s">
        <v>68</v>
      </c>
      <c r="I127" s="24">
        <v>48</v>
      </c>
      <c r="J127" s="24">
        <v>53</v>
      </c>
      <c r="K127" s="24">
        <v>54</v>
      </c>
      <c r="L127" s="24">
        <v>54</v>
      </c>
      <c r="M127" s="24">
        <v>51</v>
      </c>
      <c r="N127" s="26">
        <f t="shared" si="1"/>
        <v>52</v>
      </c>
      <c r="O127" s="11" t="str">
        <f>LOOKUP(N127,Settings!$A$10:$A$14,Settings!$B$10:$B$14)</f>
        <v>D</v>
      </c>
      <c r="P127" s="11" t="str">
        <f>IF(N127&gt;=Settings!$B$3,"Pass","Fail")</f>
        <v>Pass</v>
      </c>
      <c r="Q127" s="11" t="str">
        <f>LOOKUP(D127,Settings!$A$19:$A$23,Settings!$B$19:$B$23)</f>
        <v>0 to 4 hrs</v>
      </c>
      <c r="R127" s="11" t="str">
        <f>LOOKUP(E127,Settings!$A$28:$A$31,Settings!$B$28:$B$31)</f>
        <v>85 to 94%</v>
      </c>
      <c r="S127" s="11" t="str">
        <f>IF(OR(N127&lt;Settings!$B$4,E127&lt;Settings!$B$5),"Yes","No")</f>
        <v>Yes</v>
      </c>
      <c r="T127" s="11">
        <f>RANK(N127,$N$2:$N$301,0)+COUNTIF($N$2:N127,N127)-1</f>
        <v>248</v>
      </c>
    </row>
    <row r="128" spans="1:20" x14ac:dyDescent="0.3">
      <c r="A128" s="24" t="s">
        <v>234</v>
      </c>
      <c r="B128" s="24" t="s">
        <v>45</v>
      </c>
      <c r="C128" s="24" t="s">
        <v>57</v>
      </c>
      <c r="D128" s="25">
        <v>1</v>
      </c>
      <c r="E128" s="24">
        <v>74</v>
      </c>
      <c r="F128" s="24" t="s">
        <v>62</v>
      </c>
      <c r="G128" s="24" t="s">
        <v>68</v>
      </c>
      <c r="H128" s="24" t="s">
        <v>67</v>
      </c>
      <c r="I128" s="24">
        <v>40</v>
      </c>
      <c r="J128" s="24">
        <v>42</v>
      </c>
      <c r="K128" s="24">
        <v>32</v>
      </c>
      <c r="L128" s="24">
        <v>41</v>
      </c>
      <c r="M128" s="24">
        <v>31</v>
      </c>
      <c r="N128" s="26">
        <f t="shared" si="1"/>
        <v>37.200000000000003</v>
      </c>
      <c r="O128" s="11" t="str">
        <f>LOOKUP(N128,Settings!$A$10:$A$14,Settings!$B$10:$B$14)</f>
        <v>F</v>
      </c>
      <c r="P128" s="11" t="str">
        <f>IF(N128&gt;=Settings!$B$3,"Pass","Fail")</f>
        <v>Fail</v>
      </c>
      <c r="Q128" s="11" t="str">
        <f>LOOKUP(D128,Settings!$A$19:$A$23,Settings!$B$19:$B$23)</f>
        <v>0 to 4 hrs</v>
      </c>
      <c r="R128" s="11" t="str">
        <f>LOOKUP(E128,Settings!$A$28:$A$31,Settings!$B$28:$B$31)</f>
        <v>Below 75%</v>
      </c>
      <c r="S128" s="11" t="str">
        <f>IF(OR(N128&lt;Settings!$B$4,E128&lt;Settings!$B$5),"Yes","No")</f>
        <v>Yes</v>
      </c>
      <c r="T128" s="11">
        <f>RANK(N128,$N$2:$N$301,0)+COUNTIF($N$2:N128,N128)-1</f>
        <v>298</v>
      </c>
    </row>
    <row r="129" spans="1:20" x14ac:dyDescent="0.3">
      <c r="A129" s="24" t="s">
        <v>235</v>
      </c>
      <c r="B129" s="24" t="s">
        <v>45</v>
      </c>
      <c r="C129" s="24" t="s">
        <v>59</v>
      </c>
      <c r="D129" s="25">
        <v>16.7</v>
      </c>
      <c r="E129" s="24">
        <v>89</v>
      </c>
      <c r="F129" s="24" t="s">
        <v>62</v>
      </c>
      <c r="G129" s="24" t="s">
        <v>67</v>
      </c>
      <c r="H129" s="24" t="s">
        <v>68</v>
      </c>
      <c r="I129" s="24">
        <v>69</v>
      </c>
      <c r="J129" s="24">
        <v>68</v>
      </c>
      <c r="K129" s="24">
        <v>59</v>
      </c>
      <c r="L129" s="24">
        <v>64</v>
      </c>
      <c r="M129" s="24">
        <v>67</v>
      </c>
      <c r="N129" s="26">
        <f t="shared" si="1"/>
        <v>65.400000000000006</v>
      </c>
      <c r="O129" s="11" t="str">
        <f>LOOKUP(N129,Settings!$A$10:$A$14,Settings!$B$10:$B$14)</f>
        <v>C</v>
      </c>
      <c r="P129" s="11" t="str">
        <f>IF(N129&gt;=Settings!$B$3,"Pass","Fail")</f>
        <v>Pass</v>
      </c>
      <c r="Q129" s="11" t="str">
        <f>LOOKUP(D129,Settings!$A$19:$A$23,Settings!$B$19:$B$23)</f>
        <v>15 to 19 hrs</v>
      </c>
      <c r="R129" s="11" t="str">
        <f>LOOKUP(E129,Settings!$A$28:$A$31,Settings!$B$28:$B$31)</f>
        <v>85 to 94%</v>
      </c>
      <c r="S129" s="11" t="str">
        <f>IF(OR(N129&lt;Settings!$B$4,E129&lt;Settings!$B$5),"Yes","No")</f>
        <v>No</v>
      </c>
      <c r="T129" s="11">
        <f>RANK(N129,$N$2:$N$301,0)+COUNTIF($N$2:N129,N129)-1</f>
        <v>109</v>
      </c>
    </row>
    <row r="130" spans="1:20" x14ac:dyDescent="0.3">
      <c r="A130" s="24" t="s">
        <v>236</v>
      </c>
      <c r="B130" s="24" t="s">
        <v>45</v>
      </c>
      <c r="C130" s="24" t="s">
        <v>57</v>
      </c>
      <c r="D130" s="25">
        <v>7.1</v>
      </c>
      <c r="E130" s="24">
        <v>72</v>
      </c>
      <c r="F130" s="24" t="s">
        <v>63</v>
      </c>
      <c r="G130" s="24" t="s">
        <v>68</v>
      </c>
      <c r="H130" s="24" t="s">
        <v>67</v>
      </c>
      <c r="I130" s="24">
        <v>67</v>
      </c>
      <c r="J130" s="24">
        <v>59</v>
      </c>
      <c r="K130" s="24">
        <v>60</v>
      </c>
      <c r="L130" s="24">
        <v>52</v>
      </c>
      <c r="M130" s="24">
        <v>74</v>
      </c>
      <c r="N130" s="26">
        <f t="shared" ref="N130:N193" si="2">ROUND(AVERAGE(I130:M130),1)</f>
        <v>62.4</v>
      </c>
      <c r="O130" s="11" t="str">
        <f>LOOKUP(N130,Settings!$A$10:$A$14,Settings!$B$10:$B$14)</f>
        <v>C</v>
      </c>
      <c r="P130" s="11" t="str">
        <f>IF(N130&gt;=Settings!$B$3,"Pass","Fail")</f>
        <v>Pass</v>
      </c>
      <c r="Q130" s="11" t="str">
        <f>LOOKUP(D130,Settings!$A$19:$A$23,Settings!$B$19:$B$23)</f>
        <v>5 to 9 hrs</v>
      </c>
      <c r="R130" s="11" t="str">
        <f>LOOKUP(E130,Settings!$A$28:$A$31,Settings!$B$28:$B$31)</f>
        <v>Below 75%</v>
      </c>
      <c r="S130" s="11" t="str">
        <f>IF(OR(N130&lt;Settings!$B$4,E130&lt;Settings!$B$5),"Yes","No")</f>
        <v>Yes</v>
      </c>
      <c r="T130" s="11">
        <f>RANK(N130,$N$2:$N$301,0)+COUNTIF($N$2:N130,N130)-1</f>
        <v>146</v>
      </c>
    </row>
    <row r="131" spans="1:20" x14ac:dyDescent="0.3">
      <c r="A131" s="24" t="s">
        <v>237</v>
      </c>
      <c r="B131" s="24" t="s">
        <v>46</v>
      </c>
      <c r="C131" s="24" t="s">
        <v>59</v>
      </c>
      <c r="D131" s="25">
        <v>9.6999999999999993</v>
      </c>
      <c r="E131" s="24">
        <v>90</v>
      </c>
      <c r="F131" s="24" t="s">
        <v>63</v>
      </c>
      <c r="G131" s="24" t="s">
        <v>67</v>
      </c>
      <c r="H131" s="24" t="s">
        <v>67</v>
      </c>
      <c r="I131" s="24">
        <v>67</v>
      </c>
      <c r="J131" s="24">
        <v>60</v>
      </c>
      <c r="K131" s="24">
        <v>70</v>
      </c>
      <c r="L131" s="24">
        <v>62</v>
      </c>
      <c r="M131" s="24">
        <v>74</v>
      </c>
      <c r="N131" s="26">
        <f t="shared" si="2"/>
        <v>66.599999999999994</v>
      </c>
      <c r="O131" s="11" t="str">
        <f>LOOKUP(N131,Settings!$A$10:$A$14,Settings!$B$10:$B$14)</f>
        <v>C</v>
      </c>
      <c r="P131" s="11" t="str">
        <f>IF(N131&gt;=Settings!$B$3,"Pass","Fail")</f>
        <v>Pass</v>
      </c>
      <c r="Q131" s="11" t="str">
        <f>LOOKUP(D131,Settings!$A$19:$A$23,Settings!$B$19:$B$23)</f>
        <v>5 to 9 hrs</v>
      </c>
      <c r="R131" s="11" t="str">
        <f>LOOKUP(E131,Settings!$A$28:$A$31,Settings!$B$28:$B$31)</f>
        <v>85 to 94%</v>
      </c>
      <c r="S131" s="11" t="str">
        <f>IF(OR(N131&lt;Settings!$B$4,E131&lt;Settings!$B$5),"Yes","No")</f>
        <v>No</v>
      </c>
      <c r="T131" s="11">
        <f>RANK(N131,$N$2:$N$301,0)+COUNTIF($N$2:N131,N131)-1</f>
        <v>97</v>
      </c>
    </row>
    <row r="132" spans="1:20" x14ac:dyDescent="0.3">
      <c r="A132" s="24" t="s">
        <v>238</v>
      </c>
      <c r="B132" s="24" t="s">
        <v>45</v>
      </c>
      <c r="C132" s="24" t="s">
        <v>59</v>
      </c>
      <c r="D132" s="25">
        <v>5.0999999999999996</v>
      </c>
      <c r="E132" s="24">
        <v>92</v>
      </c>
      <c r="F132" s="24" t="s">
        <v>63</v>
      </c>
      <c r="G132" s="24" t="s">
        <v>67</v>
      </c>
      <c r="H132" s="24" t="s">
        <v>68</v>
      </c>
      <c r="I132" s="24">
        <v>63</v>
      </c>
      <c r="J132" s="24">
        <v>71</v>
      </c>
      <c r="K132" s="24">
        <v>66</v>
      </c>
      <c r="L132" s="24">
        <v>54</v>
      </c>
      <c r="M132" s="24">
        <v>63</v>
      </c>
      <c r="N132" s="26">
        <f t="shared" si="2"/>
        <v>63.4</v>
      </c>
      <c r="O132" s="11" t="str">
        <f>LOOKUP(N132,Settings!$A$10:$A$14,Settings!$B$10:$B$14)</f>
        <v>C</v>
      </c>
      <c r="P132" s="11" t="str">
        <f>IF(N132&gt;=Settings!$B$3,"Pass","Fail")</f>
        <v>Pass</v>
      </c>
      <c r="Q132" s="11" t="str">
        <f>LOOKUP(D132,Settings!$A$19:$A$23,Settings!$B$19:$B$23)</f>
        <v>5 to 9 hrs</v>
      </c>
      <c r="R132" s="11" t="str">
        <f>LOOKUP(E132,Settings!$A$28:$A$31,Settings!$B$28:$B$31)</f>
        <v>85 to 94%</v>
      </c>
      <c r="S132" s="11" t="str">
        <f>IF(OR(N132&lt;Settings!$B$4,E132&lt;Settings!$B$5),"Yes","No")</f>
        <v>No</v>
      </c>
      <c r="T132" s="11">
        <f>RANK(N132,$N$2:$N$301,0)+COUNTIF($N$2:N132,N132)-1</f>
        <v>133</v>
      </c>
    </row>
    <row r="133" spans="1:20" x14ac:dyDescent="0.3">
      <c r="A133" s="24" t="s">
        <v>239</v>
      </c>
      <c r="B133" s="24" t="s">
        <v>46</v>
      </c>
      <c r="C133" s="24" t="s">
        <v>59</v>
      </c>
      <c r="D133" s="25">
        <v>5</v>
      </c>
      <c r="E133" s="24">
        <v>78</v>
      </c>
      <c r="F133" s="24" t="s">
        <v>62</v>
      </c>
      <c r="G133" s="24" t="s">
        <v>68</v>
      </c>
      <c r="H133" s="24" t="s">
        <v>68</v>
      </c>
      <c r="I133" s="24">
        <v>39</v>
      </c>
      <c r="J133" s="24">
        <v>39</v>
      </c>
      <c r="K133" s="24">
        <v>37</v>
      </c>
      <c r="L133" s="24">
        <v>31</v>
      </c>
      <c r="M133" s="24">
        <v>41</v>
      </c>
      <c r="N133" s="26">
        <f t="shared" si="2"/>
        <v>37.4</v>
      </c>
      <c r="O133" s="11" t="str">
        <f>LOOKUP(N133,Settings!$A$10:$A$14,Settings!$B$10:$B$14)</f>
        <v>F</v>
      </c>
      <c r="P133" s="11" t="str">
        <f>IF(N133&gt;=Settings!$B$3,"Pass","Fail")</f>
        <v>Fail</v>
      </c>
      <c r="Q133" s="11" t="str">
        <f>LOOKUP(D133,Settings!$A$19:$A$23,Settings!$B$19:$B$23)</f>
        <v>5 to 9 hrs</v>
      </c>
      <c r="R133" s="11" t="str">
        <f>LOOKUP(E133,Settings!$A$28:$A$31,Settings!$B$28:$B$31)</f>
        <v>75 to 84%</v>
      </c>
      <c r="S133" s="11" t="str">
        <f>IF(OR(N133&lt;Settings!$B$4,E133&lt;Settings!$B$5),"Yes","No")</f>
        <v>Yes</v>
      </c>
      <c r="T133" s="11">
        <f>RANK(N133,$N$2:$N$301,0)+COUNTIF($N$2:N133,N133)-1</f>
        <v>297</v>
      </c>
    </row>
    <row r="134" spans="1:20" x14ac:dyDescent="0.3">
      <c r="A134" s="24" t="s">
        <v>240</v>
      </c>
      <c r="B134" s="24" t="s">
        <v>46</v>
      </c>
      <c r="C134" s="24" t="s">
        <v>58</v>
      </c>
      <c r="D134" s="25">
        <v>11.1</v>
      </c>
      <c r="E134" s="24">
        <v>77</v>
      </c>
      <c r="F134" s="24" t="s">
        <v>62</v>
      </c>
      <c r="G134" s="24" t="s">
        <v>67</v>
      </c>
      <c r="H134" s="24" t="s">
        <v>68</v>
      </c>
      <c r="I134" s="24">
        <v>58</v>
      </c>
      <c r="J134" s="24">
        <v>45</v>
      </c>
      <c r="K134" s="24">
        <v>57</v>
      </c>
      <c r="L134" s="24">
        <v>47</v>
      </c>
      <c r="M134" s="24">
        <v>41</v>
      </c>
      <c r="N134" s="26">
        <f t="shared" si="2"/>
        <v>49.6</v>
      </c>
      <c r="O134" s="11" t="str">
        <f>LOOKUP(N134,Settings!$A$10:$A$14,Settings!$B$10:$B$14)</f>
        <v>F</v>
      </c>
      <c r="P134" s="11" t="str">
        <f>IF(N134&gt;=Settings!$B$3,"Pass","Fail")</f>
        <v>Fail</v>
      </c>
      <c r="Q134" s="11" t="str">
        <f>LOOKUP(D134,Settings!$A$19:$A$23,Settings!$B$19:$B$23)</f>
        <v>10 to 14 hrs</v>
      </c>
      <c r="R134" s="11" t="str">
        <f>LOOKUP(E134,Settings!$A$28:$A$31,Settings!$B$28:$B$31)</f>
        <v>75 to 84%</v>
      </c>
      <c r="S134" s="11" t="str">
        <f>IF(OR(N134&lt;Settings!$B$4,E134&lt;Settings!$B$5),"Yes","No")</f>
        <v>Yes</v>
      </c>
      <c r="T134" s="11">
        <f>RANK(N134,$N$2:$N$301,0)+COUNTIF($N$2:N134,N134)-1</f>
        <v>269</v>
      </c>
    </row>
    <row r="135" spans="1:20" x14ac:dyDescent="0.3">
      <c r="A135" s="24" t="s">
        <v>241</v>
      </c>
      <c r="B135" s="24" t="s">
        <v>45</v>
      </c>
      <c r="C135" s="24" t="s">
        <v>59</v>
      </c>
      <c r="D135" s="25">
        <v>8.4</v>
      </c>
      <c r="E135" s="24">
        <v>68</v>
      </c>
      <c r="F135" s="24" t="s">
        <v>63</v>
      </c>
      <c r="G135" s="24" t="s">
        <v>68</v>
      </c>
      <c r="H135" s="24" t="s">
        <v>68</v>
      </c>
      <c r="I135" s="24">
        <v>44</v>
      </c>
      <c r="J135" s="24">
        <v>49</v>
      </c>
      <c r="K135" s="24">
        <v>44</v>
      </c>
      <c r="L135" s="24">
        <v>45</v>
      </c>
      <c r="M135" s="24">
        <v>40</v>
      </c>
      <c r="N135" s="26">
        <f t="shared" si="2"/>
        <v>44.4</v>
      </c>
      <c r="O135" s="11" t="str">
        <f>LOOKUP(N135,Settings!$A$10:$A$14,Settings!$B$10:$B$14)</f>
        <v>F</v>
      </c>
      <c r="P135" s="11" t="str">
        <f>IF(N135&gt;=Settings!$B$3,"Pass","Fail")</f>
        <v>Fail</v>
      </c>
      <c r="Q135" s="11" t="str">
        <f>LOOKUP(D135,Settings!$A$19:$A$23,Settings!$B$19:$B$23)</f>
        <v>5 to 9 hrs</v>
      </c>
      <c r="R135" s="11" t="str">
        <f>LOOKUP(E135,Settings!$A$28:$A$31,Settings!$B$28:$B$31)</f>
        <v>Below 75%</v>
      </c>
      <c r="S135" s="11" t="str">
        <f>IF(OR(N135&lt;Settings!$B$4,E135&lt;Settings!$B$5),"Yes","No")</f>
        <v>Yes</v>
      </c>
      <c r="T135" s="11">
        <f>RANK(N135,$N$2:$N$301,0)+COUNTIF($N$2:N135,N135)-1</f>
        <v>290</v>
      </c>
    </row>
    <row r="136" spans="1:20" x14ac:dyDescent="0.3">
      <c r="A136" s="24" t="s">
        <v>242</v>
      </c>
      <c r="B136" s="24" t="s">
        <v>46</v>
      </c>
      <c r="C136" s="24" t="s">
        <v>57</v>
      </c>
      <c r="D136" s="25">
        <v>13.9</v>
      </c>
      <c r="E136" s="24">
        <v>84</v>
      </c>
      <c r="F136" s="24" t="s">
        <v>62</v>
      </c>
      <c r="G136" s="24" t="s">
        <v>67</v>
      </c>
      <c r="H136" s="24" t="s">
        <v>68</v>
      </c>
      <c r="I136" s="24">
        <v>72</v>
      </c>
      <c r="J136" s="24">
        <v>68</v>
      </c>
      <c r="K136" s="24">
        <v>74</v>
      </c>
      <c r="L136" s="24">
        <v>67</v>
      </c>
      <c r="M136" s="24">
        <v>73</v>
      </c>
      <c r="N136" s="26">
        <f t="shared" si="2"/>
        <v>70.8</v>
      </c>
      <c r="O136" s="11" t="str">
        <f>LOOKUP(N136,Settings!$A$10:$A$14,Settings!$B$10:$B$14)</f>
        <v>B</v>
      </c>
      <c r="P136" s="11" t="str">
        <f>IF(N136&gt;=Settings!$B$3,"Pass","Fail")</f>
        <v>Pass</v>
      </c>
      <c r="Q136" s="11" t="str">
        <f>LOOKUP(D136,Settings!$A$19:$A$23,Settings!$B$19:$B$23)</f>
        <v>10 to 14 hrs</v>
      </c>
      <c r="R136" s="11" t="str">
        <f>LOOKUP(E136,Settings!$A$28:$A$31,Settings!$B$28:$B$31)</f>
        <v>75 to 84%</v>
      </c>
      <c r="S136" s="11" t="str">
        <f>IF(OR(N136&lt;Settings!$B$4,E136&lt;Settings!$B$5),"Yes","No")</f>
        <v>No</v>
      </c>
      <c r="T136" s="11">
        <f>RANK(N136,$N$2:$N$301,0)+COUNTIF($N$2:N136,N136)-1</f>
        <v>48</v>
      </c>
    </row>
    <row r="137" spans="1:20" x14ac:dyDescent="0.3">
      <c r="A137" s="24" t="s">
        <v>243</v>
      </c>
      <c r="B137" s="24" t="s">
        <v>45</v>
      </c>
      <c r="C137" s="24" t="s">
        <v>57</v>
      </c>
      <c r="D137" s="25">
        <v>14.3</v>
      </c>
      <c r="E137" s="24">
        <v>82</v>
      </c>
      <c r="F137" s="24" t="s">
        <v>63</v>
      </c>
      <c r="G137" s="24" t="s">
        <v>67</v>
      </c>
      <c r="H137" s="24" t="s">
        <v>68</v>
      </c>
      <c r="I137" s="24">
        <v>67</v>
      </c>
      <c r="J137" s="24">
        <v>62</v>
      </c>
      <c r="K137" s="24">
        <v>48</v>
      </c>
      <c r="L137" s="24">
        <v>60</v>
      </c>
      <c r="M137" s="24">
        <v>50</v>
      </c>
      <c r="N137" s="26">
        <f t="shared" si="2"/>
        <v>57.4</v>
      </c>
      <c r="O137" s="11" t="str">
        <f>LOOKUP(N137,Settings!$A$10:$A$14,Settings!$B$10:$B$14)</f>
        <v>D</v>
      </c>
      <c r="P137" s="11" t="str">
        <f>IF(N137&gt;=Settings!$B$3,"Pass","Fail")</f>
        <v>Pass</v>
      </c>
      <c r="Q137" s="11" t="str">
        <f>LOOKUP(D137,Settings!$A$19:$A$23,Settings!$B$19:$B$23)</f>
        <v>10 to 14 hrs</v>
      </c>
      <c r="R137" s="11" t="str">
        <f>LOOKUP(E137,Settings!$A$28:$A$31,Settings!$B$28:$B$31)</f>
        <v>75 to 84%</v>
      </c>
      <c r="S137" s="11" t="str">
        <f>IF(OR(N137&lt;Settings!$B$4,E137&lt;Settings!$B$5),"Yes","No")</f>
        <v>No</v>
      </c>
      <c r="T137" s="11">
        <f>RANK(N137,$N$2:$N$301,0)+COUNTIF($N$2:N137,N137)-1</f>
        <v>198</v>
      </c>
    </row>
    <row r="138" spans="1:20" x14ac:dyDescent="0.3">
      <c r="A138" s="24" t="s">
        <v>244</v>
      </c>
      <c r="B138" s="24" t="s">
        <v>46</v>
      </c>
      <c r="C138" s="24" t="s">
        <v>57</v>
      </c>
      <c r="D138" s="25">
        <v>13.6</v>
      </c>
      <c r="E138" s="24">
        <v>74</v>
      </c>
      <c r="F138" s="24" t="s">
        <v>62</v>
      </c>
      <c r="G138" s="24" t="s">
        <v>67</v>
      </c>
      <c r="H138" s="24" t="s">
        <v>67</v>
      </c>
      <c r="I138" s="24">
        <v>60</v>
      </c>
      <c r="J138" s="24">
        <v>61</v>
      </c>
      <c r="K138" s="24">
        <v>67</v>
      </c>
      <c r="L138" s="24">
        <v>54</v>
      </c>
      <c r="M138" s="24">
        <v>56</v>
      </c>
      <c r="N138" s="26">
        <f t="shared" si="2"/>
        <v>59.6</v>
      </c>
      <c r="O138" s="11" t="str">
        <f>LOOKUP(N138,Settings!$A$10:$A$14,Settings!$B$10:$B$14)</f>
        <v>D</v>
      </c>
      <c r="P138" s="11" t="str">
        <f>IF(N138&gt;=Settings!$B$3,"Pass","Fail")</f>
        <v>Pass</v>
      </c>
      <c r="Q138" s="11" t="str">
        <f>LOOKUP(D138,Settings!$A$19:$A$23,Settings!$B$19:$B$23)</f>
        <v>10 to 14 hrs</v>
      </c>
      <c r="R138" s="11" t="str">
        <f>LOOKUP(E138,Settings!$A$28:$A$31,Settings!$B$28:$B$31)</f>
        <v>Below 75%</v>
      </c>
      <c r="S138" s="11" t="str">
        <f>IF(OR(N138&lt;Settings!$B$4,E138&lt;Settings!$B$5),"Yes","No")</f>
        <v>Yes</v>
      </c>
      <c r="T138" s="11">
        <f>RANK(N138,$N$2:$N$301,0)+COUNTIF($N$2:N138,N138)-1</f>
        <v>182</v>
      </c>
    </row>
    <row r="139" spans="1:20" x14ac:dyDescent="0.3">
      <c r="A139" s="24" t="s">
        <v>245</v>
      </c>
      <c r="B139" s="24" t="s">
        <v>45</v>
      </c>
      <c r="C139" s="24" t="s">
        <v>58</v>
      </c>
      <c r="D139" s="25">
        <v>13.2</v>
      </c>
      <c r="E139" s="24">
        <v>90</v>
      </c>
      <c r="F139" s="24" t="s">
        <v>63</v>
      </c>
      <c r="G139" s="24" t="s">
        <v>67</v>
      </c>
      <c r="H139" s="24" t="s">
        <v>68</v>
      </c>
      <c r="I139" s="24">
        <v>51</v>
      </c>
      <c r="J139" s="24">
        <v>66</v>
      </c>
      <c r="K139" s="24">
        <v>61</v>
      </c>
      <c r="L139" s="24">
        <v>65</v>
      </c>
      <c r="M139" s="24">
        <v>64</v>
      </c>
      <c r="N139" s="26">
        <f t="shared" si="2"/>
        <v>61.4</v>
      </c>
      <c r="O139" s="11" t="str">
        <f>LOOKUP(N139,Settings!$A$10:$A$14,Settings!$B$10:$B$14)</f>
        <v>C</v>
      </c>
      <c r="P139" s="11" t="str">
        <f>IF(N139&gt;=Settings!$B$3,"Pass","Fail")</f>
        <v>Pass</v>
      </c>
      <c r="Q139" s="11" t="str">
        <f>LOOKUP(D139,Settings!$A$19:$A$23,Settings!$B$19:$B$23)</f>
        <v>10 to 14 hrs</v>
      </c>
      <c r="R139" s="11" t="str">
        <f>LOOKUP(E139,Settings!$A$28:$A$31,Settings!$B$28:$B$31)</f>
        <v>85 to 94%</v>
      </c>
      <c r="S139" s="11" t="str">
        <f>IF(OR(N139&lt;Settings!$B$4,E139&lt;Settings!$B$5),"Yes","No")</f>
        <v>No</v>
      </c>
      <c r="T139" s="11">
        <f>RANK(N139,$N$2:$N$301,0)+COUNTIF($N$2:N139,N139)-1</f>
        <v>162</v>
      </c>
    </row>
    <row r="140" spans="1:20" x14ac:dyDescent="0.3">
      <c r="A140" s="24" t="s">
        <v>246</v>
      </c>
      <c r="B140" s="24" t="s">
        <v>46</v>
      </c>
      <c r="C140" s="24" t="s">
        <v>59</v>
      </c>
      <c r="D140" s="25">
        <v>19.899999999999999</v>
      </c>
      <c r="E140" s="24">
        <v>85</v>
      </c>
      <c r="F140" s="24" t="s">
        <v>63</v>
      </c>
      <c r="G140" s="24" t="s">
        <v>67</v>
      </c>
      <c r="H140" s="24" t="s">
        <v>68</v>
      </c>
      <c r="I140" s="24">
        <v>70</v>
      </c>
      <c r="J140" s="24">
        <v>73</v>
      </c>
      <c r="K140" s="24">
        <v>84</v>
      </c>
      <c r="L140" s="24">
        <v>61</v>
      </c>
      <c r="M140" s="24">
        <v>67</v>
      </c>
      <c r="N140" s="26">
        <f t="shared" si="2"/>
        <v>71</v>
      </c>
      <c r="O140" s="11" t="str">
        <f>LOOKUP(N140,Settings!$A$10:$A$14,Settings!$B$10:$B$14)</f>
        <v>B</v>
      </c>
      <c r="P140" s="11" t="str">
        <f>IF(N140&gt;=Settings!$B$3,"Pass","Fail")</f>
        <v>Pass</v>
      </c>
      <c r="Q140" s="11" t="str">
        <f>LOOKUP(D140,Settings!$A$19:$A$23,Settings!$B$19:$B$23)</f>
        <v>15 to 19 hrs</v>
      </c>
      <c r="R140" s="11" t="str">
        <f>LOOKUP(E140,Settings!$A$28:$A$31,Settings!$B$28:$B$31)</f>
        <v>85 to 94%</v>
      </c>
      <c r="S140" s="11" t="str">
        <f>IF(OR(N140&lt;Settings!$B$4,E140&lt;Settings!$B$5),"Yes","No")</f>
        <v>No</v>
      </c>
      <c r="T140" s="11">
        <f>RANK(N140,$N$2:$N$301,0)+COUNTIF($N$2:N140,N140)-1</f>
        <v>46</v>
      </c>
    </row>
    <row r="141" spans="1:20" x14ac:dyDescent="0.3">
      <c r="A141" s="24" t="s">
        <v>247</v>
      </c>
      <c r="B141" s="24" t="s">
        <v>45</v>
      </c>
      <c r="C141" s="24" t="s">
        <v>58</v>
      </c>
      <c r="D141" s="25">
        <v>6.7</v>
      </c>
      <c r="E141" s="24">
        <v>76</v>
      </c>
      <c r="F141" s="24" t="s">
        <v>63</v>
      </c>
      <c r="G141" s="24" t="s">
        <v>67</v>
      </c>
      <c r="H141" s="24" t="s">
        <v>67</v>
      </c>
      <c r="I141" s="24">
        <v>56</v>
      </c>
      <c r="J141" s="24">
        <v>48</v>
      </c>
      <c r="K141" s="24">
        <v>53</v>
      </c>
      <c r="L141" s="24">
        <v>48</v>
      </c>
      <c r="M141" s="24">
        <v>42</v>
      </c>
      <c r="N141" s="26">
        <f t="shared" si="2"/>
        <v>49.4</v>
      </c>
      <c r="O141" s="11" t="str">
        <f>LOOKUP(N141,Settings!$A$10:$A$14,Settings!$B$10:$B$14)</f>
        <v>F</v>
      </c>
      <c r="P141" s="11" t="str">
        <f>IF(N141&gt;=Settings!$B$3,"Pass","Fail")</f>
        <v>Fail</v>
      </c>
      <c r="Q141" s="11" t="str">
        <f>LOOKUP(D141,Settings!$A$19:$A$23,Settings!$B$19:$B$23)</f>
        <v>5 to 9 hrs</v>
      </c>
      <c r="R141" s="11" t="str">
        <f>LOOKUP(E141,Settings!$A$28:$A$31,Settings!$B$28:$B$31)</f>
        <v>75 to 84%</v>
      </c>
      <c r="S141" s="11" t="str">
        <f>IF(OR(N141&lt;Settings!$B$4,E141&lt;Settings!$B$5),"Yes","No")</f>
        <v>Yes</v>
      </c>
      <c r="T141" s="11">
        <f>RANK(N141,$N$2:$N$301,0)+COUNTIF($N$2:N141,N141)-1</f>
        <v>271</v>
      </c>
    </row>
    <row r="142" spans="1:20" x14ac:dyDescent="0.3">
      <c r="A142" s="24" t="s">
        <v>248</v>
      </c>
      <c r="B142" s="24" t="s">
        <v>45</v>
      </c>
      <c r="C142" s="24" t="s">
        <v>59</v>
      </c>
      <c r="D142" s="25">
        <v>11.7</v>
      </c>
      <c r="E142" s="24">
        <v>81</v>
      </c>
      <c r="F142" s="24" t="s">
        <v>62</v>
      </c>
      <c r="G142" s="24" t="s">
        <v>67</v>
      </c>
      <c r="H142" s="24" t="s">
        <v>67</v>
      </c>
      <c r="I142" s="24">
        <v>59</v>
      </c>
      <c r="J142" s="24">
        <v>58</v>
      </c>
      <c r="K142" s="24">
        <v>50</v>
      </c>
      <c r="L142" s="24">
        <v>61</v>
      </c>
      <c r="M142" s="24">
        <v>56</v>
      </c>
      <c r="N142" s="26">
        <f t="shared" si="2"/>
        <v>56.8</v>
      </c>
      <c r="O142" s="11" t="str">
        <f>LOOKUP(N142,Settings!$A$10:$A$14,Settings!$B$10:$B$14)</f>
        <v>D</v>
      </c>
      <c r="P142" s="11" t="str">
        <f>IF(N142&gt;=Settings!$B$3,"Pass","Fail")</f>
        <v>Pass</v>
      </c>
      <c r="Q142" s="11" t="str">
        <f>LOOKUP(D142,Settings!$A$19:$A$23,Settings!$B$19:$B$23)</f>
        <v>10 to 14 hrs</v>
      </c>
      <c r="R142" s="11" t="str">
        <f>LOOKUP(E142,Settings!$A$28:$A$31,Settings!$B$28:$B$31)</f>
        <v>75 to 84%</v>
      </c>
      <c r="S142" s="11" t="str">
        <f>IF(OR(N142&lt;Settings!$B$4,E142&lt;Settings!$B$5),"Yes","No")</f>
        <v>No</v>
      </c>
      <c r="T142" s="11">
        <f>RANK(N142,$N$2:$N$301,0)+COUNTIF($N$2:N142,N142)-1</f>
        <v>206</v>
      </c>
    </row>
    <row r="143" spans="1:20" x14ac:dyDescent="0.3">
      <c r="A143" s="24" t="s">
        <v>249</v>
      </c>
      <c r="B143" s="24" t="s">
        <v>45</v>
      </c>
      <c r="C143" s="24" t="s">
        <v>57</v>
      </c>
      <c r="D143" s="25">
        <v>17.7</v>
      </c>
      <c r="E143" s="24">
        <v>96</v>
      </c>
      <c r="F143" s="24" t="s">
        <v>62</v>
      </c>
      <c r="G143" s="24" t="s">
        <v>67</v>
      </c>
      <c r="H143" s="24" t="s">
        <v>68</v>
      </c>
      <c r="I143" s="24">
        <v>71</v>
      </c>
      <c r="J143" s="24">
        <v>79</v>
      </c>
      <c r="K143" s="24">
        <v>67</v>
      </c>
      <c r="L143" s="24">
        <v>77</v>
      </c>
      <c r="M143" s="24">
        <v>64</v>
      </c>
      <c r="N143" s="26">
        <f t="shared" si="2"/>
        <v>71.599999999999994</v>
      </c>
      <c r="O143" s="11" t="str">
        <f>LOOKUP(N143,Settings!$A$10:$A$14,Settings!$B$10:$B$14)</f>
        <v>B</v>
      </c>
      <c r="P143" s="11" t="str">
        <f>IF(N143&gt;=Settings!$B$3,"Pass","Fail")</f>
        <v>Pass</v>
      </c>
      <c r="Q143" s="11" t="str">
        <f>LOOKUP(D143,Settings!$A$19:$A$23,Settings!$B$19:$B$23)</f>
        <v>15 to 19 hrs</v>
      </c>
      <c r="R143" s="11" t="str">
        <f>LOOKUP(E143,Settings!$A$28:$A$31,Settings!$B$28:$B$31)</f>
        <v>95 to 100%</v>
      </c>
      <c r="S143" s="11" t="str">
        <f>IF(OR(N143&lt;Settings!$B$4,E143&lt;Settings!$B$5),"Yes","No")</f>
        <v>No</v>
      </c>
      <c r="T143" s="11">
        <f>RANK(N143,$N$2:$N$301,0)+COUNTIF($N$2:N143,N143)-1</f>
        <v>40</v>
      </c>
    </row>
    <row r="144" spans="1:20" x14ac:dyDescent="0.3">
      <c r="A144" s="24" t="s">
        <v>250</v>
      </c>
      <c r="B144" s="24" t="s">
        <v>46</v>
      </c>
      <c r="C144" s="24" t="s">
        <v>59</v>
      </c>
      <c r="D144" s="25">
        <v>18.3</v>
      </c>
      <c r="E144" s="24">
        <v>93</v>
      </c>
      <c r="F144" s="24" t="s">
        <v>64</v>
      </c>
      <c r="G144" s="24" t="s">
        <v>67</v>
      </c>
      <c r="H144" s="24" t="s">
        <v>68</v>
      </c>
      <c r="I144" s="24">
        <v>85</v>
      </c>
      <c r="J144" s="24">
        <v>80</v>
      </c>
      <c r="K144" s="24">
        <v>81</v>
      </c>
      <c r="L144" s="24">
        <v>73</v>
      </c>
      <c r="M144" s="24">
        <v>74</v>
      </c>
      <c r="N144" s="26">
        <f t="shared" si="2"/>
        <v>78.599999999999994</v>
      </c>
      <c r="O144" s="11" t="str">
        <f>LOOKUP(N144,Settings!$A$10:$A$14,Settings!$B$10:$B$14)</f>
        <v>B</v>
      </c>
      <c r="P144" s="11" t="str">
        <f>IF(N144&gt;=Settings!$B$3,"Pass","Fail")</f>
        <v>Pass</v>
      </c>
      <c r="Q144" s="11" t="str">
        <f>LOOKUP(D144,Settings!$A$19:$A$23,Settings!$B$19:$B$23)</f>
        <v>15 to 19 hrs</v>
      </c>
      <c r="R144" s="11" t="str">
        <f>LOOKUP(E144,Settings!$A$28:$A$31,Settings!$B$28:$B$31)</f>
        <v>85 to 94%</v>
      </c>
      <c r="S144" s="11" t="str">
        <f>IF(OR(N144&lt;Settings!$B$4,E144&lt;Settings!$B$5),"Yes","No")</f>
        <v>No</v>
      </c>
      <c r="T144" s="11">
        <f>RANK(N144,$N$2:$N$301,0)+COUNTIF($N$2:N144,N144)-1</f>
        <v>9</v>
      </c>
    </row>
    <row r="145" spans="1:20" x14ac:dyDescent="0.3">
      <c r="A145" s="24" t="s">
        <v>251</v>
      </c>
      <c r="B145" s="24" t="s">
        <v>46</v>
      </c>
      <c r="C145" s="24" t="s">
        <v>57</v>
      </c>
      <c r="D145" s="25">
        <v>4.9000000000000004</v>
      </c>
      <c r="E145" s="24">
        <v>83</v>
      </c>
      <c r="F145" s="24" t="s">
        <v>62</v>
      </c>
      <c r="G145" s="24" t="s">
        <v>67</v>
      </c>
      <c r="H145" s="24" t="s">
        <v>68</v>
      </c>
      <c r="I145" s="24">
        <v>58</v>
      </c>
      <c r="J145" s="24">
        <v>46</v>
      </c>
      <c r="K145" s="24">
        <v>60</v>
      </c>
      <c r="L145" s="24">
        <v>60</v>
      </c>
      <c r="M145" s="24">
        <v>50</v>
      </c>
      <c r="N145" s="26">
        <f t="shared" si="2"/>
        <v>54.8</v>
      </c>
      <c r="O145" s="11" t="str">
        <f>LOOKUP(N145,Settings!$A$10:$A$14,Settings!$B$10:$B$14)</f>
        <v>D</v>
      </c>
      <c r="P145" s="11" t="str">
        <f>IF(N145&gt;=Settings!$B$3,"Pass","Fail")</f>
        <v>Pass</v>
      </c>
      <c r="Q145" s="11" t="str">
        <f>LOOKUP(D145,Settings!$A$19:$A$23,Settings!$B$19:$B$23)</f>
        <v>0 to 4 hrs</v>
      </c>
      <c r="R145" s="11" t="str">
        <f>LOOKUP(E145,Settings!$A$28:$A$31,Settings!$B$28:$B$31)</f>
        <v>75 to 84%</v>
      </c>
      <c r="S145" s="11" t="str">
        <f>IF(OR(N145&lt;Settings!$B$4,E145&lt;Settings!$B$5),"Yes","No")</f>
        <v>Yes</v>
      </c>
      <c r="T145" s="11">
        <f>RANK(N145,$N$2:$N$301,0)+COUNTIF($N$2:N145,N145)-1</f>
        <v>227</v>
      </c>
    </row>
    <row r="146" spans="1:20" x14ac:dyDescent="0.3">
      <c r="A146" s="24" t="s">
        <v>252</v>
      </c>
      <c r="B146" s="24" t="s">
        <v>45</v>
      </c>
      <c r="C146" s="24" t="s">
        <v>57</v>
      </c>
      <c r="D146" s="25">
        <v>10.4</v>
      </c>
      <c r="E146" s="24">
        <v>90</v>
      </c>
      <c r="F146" s="24" t="s">
        <v>63</v>
      </c>
      <c r="G146" s="24" t="s">
        <v>67</v>
      </c>
      <c r="H146" s="24" t="s">
        <v>68</v>
      </c>
      <c r="I146" s="24">
        <v>74</v>
      </c>
      <c r="J146" s="24">
        <v>65</v>
      </c>
      <c r="K146" s="24">
        <v>66</v>
      </c>
      <c r="L146" s="24">
        <v>60</v>
      </c>
      <c r="M146" s="24">
        <v>70</v>
      </c>
      <c r="N146" s="26">
        <f t="shared" si="2"/>
        <v>67</v>
      </c>
      <c r="O146" s="11" t="str">
        <f>LOOKUP(N146,Settings!$A$10:$A$14,Settings!$B$10:$B$14)</f>
        <v>C</v>
      </c>
      <c r="P146" s="11" t="str">
        <f>IF(N146&gt;=Settings!$B$3,"Pass","Fail")</f>
        <v>Pass</v>
      </c>
      <c r="Q146" s="11" t="str">
        <f>LOOKUP(D146,Settings!$A$19:$A$23,Settings!$B$19:$B$23)</f>
        <v>10 to 14 hrs</v>
      </c>
      <c r="R146" s="11" t="str">
        <f>LOOKUP(E146,Settings!$A$28:$A$31,Settings!$B$28:$B$31)</f>
        <v>85 to 94%</v>
      </c>
      <c r="S146" s="11" t="str">
        <f>IF(OR(N146&lt;Settings!$B$4,E146&lt;Settings!$B$5),"Yes","No")</f>
        <v>No</v>
      </c>
      <c r="T146" s="11">
        <f>RANK(N146,$N$2:$N$301,0)+COUNTIF($N$2:N146,N146)-1</f>
        <v>92</v>
      </c>
    </row>
    <row r="147" spans="1:20" x14ac:dyDescent="0.3">
      <c r="A147" s="24" t="s">
        <v>253</v>
      </c>
      <c r="B147" s="24" t="s">
        <v>45</v>
      </c>
      <c r="C147" s="24" t="s">
        <v>59</v>
      </c>
      <c r="D147" s="25">
        <v>18.8</v>
      </c>
      <c r="E147" s="24">
        <v>79</v>
      </c>
      <c r="F147" s="24" t="s">
        <v>63</v>
      </c>
      <c r="G147" s="24" t="s">
        <v>67</v>
      </c>
      <c r="H147" s="24" t="s">
        <v>68</v>
      </c>
      <c r="I147" s="24">
        <v>72</v>
      </c>
      <c r="J147" s="24">
        <v>71</v>
      </c>
      <c r="K147" s="24">
        <v>68</v>
      </c>
      <c r="L147" s="24">
        <v>62</v>
      </c>
      <c r="M147" s="24">
        <v>66</v>
      </c>
      <c r="N147" s="26">
        <f t="shared" si="2"/>
        <v>67.8</v>
      </c>
      <c r="O147" s="11" t="str">
        <f>LOOKUP(N147,Settings!$A$10:$A$14,Settings!$B$10:$B$14)</f>
        <v>C</v>
      </c>
      <c r="P147" s="11" t="str">
        <f>IF(N147&gt;=Settings!$B$3,"Pass","Fail")</f>
        <v>Pass</v>
      </c>
      <c r="Q147" s="11" t="str">
        <f>LOOKUP(D147,Settings!$A$19:$A$23,Settings!$B$19:$B$23)</f>
        <v>15 to 19 hrs</v>
      </c>
      <c r="R147" s="11" t="str">
        <f>LOOKUP(E147,Settings!$A$28:$A$31,Settings!$B$28:$B$31)</f>
        <v>75 to 84%</v>
      </c>
      <c r="S147" s="11" t="str">
        <f>IF(OR(N147&lt;Settings!$B$4,E147&lt;Settings!$B$5),"Yes","No")</f>
        <v>No</v>
      </c>
      <c r="T147" s="11">
        <f>RANK(N147,$N$2:$N$301,0)+COUNTIF($N$2:N147,N147)-1</f>
        <v>77</v>
      </c>
    </row>
    <row r="148" spans="1:20" x14ac:dyDescent="0.3">
      <c r="A148" s="24" t="s">
        <v>254</v>
      </c>
      <c r="B148" s="24" t="s">
        <v>45</v>
      </c>
      <c r="C148" s="24" t="s">
        <v>59</v>
      </c>
      <c r="D148" s="25">
        <v>14.5</v>
      </c>
      <c r="E148" s="24">
        <v>87</v>
      </c>
      <c r="F148" s="24" t="s">
        <v>63</v>
      </c>
      <c r="G148" s="24" t="s">
        <v>67</v>
      </c>
      <c r="H148" s="24" t="s">
        <v>67</v>
      </c>
      <c r="I148" s="24">
        <v>73</v>
      </c>
      <c r="J148" s="24">
        <v>78</v>
      </c>
      <c r="K148" s="24">
        <v>69</v>
      </c>
      <c r="L148" s="24">
        <v>71</v>
      </c>
      <c r="M148" s="24">
        <v>63</v>
      </c>
      <c r="N148" s="26">
        <f t="shared" si="2"/>
        <v>70.8</v>
      </c>
      <c r="O148" s="11" t="str">
        <f>LOOKUP(N148,Settings!$A$10:$A$14,Settings!$B$10:$B$14)</f>
        <v>B</v>
      </c>
      <c r="P148" s="11" t="str">
        <f>IF(N148&gt;=Settings!$B$3,"Pass","Fail")</f>
        <v>Pass</v>
      </c>
      <c r="Q148" s="11" t="str">
        <f>LOOKUP(D148,Settings!$A$19:$A$23,Settings!$B$19:$B$23)</f>
        <v>10 to 14 hrs</v>
      </c>
      <c r="R148" s="11" t="str">
        <f>LOOKUP(E148,Settings!$A$28:$A$31,Settings!$B$28:$B$31)</f>
        <v>85 to 94%</v>
      </c>
      <c r="S148" s="11" t="str">
        <f>IF(OR(N148&lt;Settings!$B$4,E148&lt;Settings!$B$5),"Yes","No")</f>
        <v>No</v>
      </c>
      <c r="T148" s="11">
        <f>RANK(N148,$N$2:$N$301,0)+COUNTIF($N$2:N148,N148)-1</f>
        <v>49</v>
      </c>
    </row>
    <row r="149" spans="1:20" x14ac:dyDescent="0.3">
      <c r="A149" s="24" t="s">
        <v>255</v>
      </c>
      <c r="B149" s="24" t="s">
        <v>46</v>
      </c>
      <c r="C149" s="24" t="s">
        <v>58</v>
      </c>
      <c r="D149" s="25">
        <v>13</v>
      </c>
      <c r="E149" s="24">
        <v>87</v>
      </c>
      <c r="F149" s="24" t="s">
        <v>63</v>
      </c>
      <c r="G149" s="24" t="s">
        <v>68</v>
      </c>
      <c r="H149" s="24" t="s">
        <v>67</v>
      </c>
      <c r="I149" s="24">
        <v>69</v>
      </c>
      <c r="J149" s="24">
        <v>51</v>
      </c>
      <c r="K149" s="24">
        <v>65</v>
      </c>
      <c r="L149" s="24">
        <v>75</v>
      </c>
      <c r="M149" s="24">
        <v>69</v>
      </c>
      <c r="N149" s="26">
        <f t="shared" si="2"/>
        <v>65.8</v>
      </c>
      <c r="O149" s="11" t="str">
        <f>LOOKUP(N149,Settings!$A$10:$A$14,Settings!$B$10:$B$14)</f>
        <v>C</v>
      </c>
      <c r="P149" s="11" t="str">
        <f>IF(N149&gt;=Settings!$B$3,"Pass","Fail")</f>
        <v>Pass</v>
      </c>
      <c r="Q149" s="11" t="str">
        <f>LOOKUP(D149,Settings!$A$19:$A$23,Settings!$B$19:$B$23)</f>
        <v>10 to 14 hrs</v>
      </c>
      <c r="R149" s="11" t="str">
        <f>LOOKUP(E149,Settings!$A$28:$A$31,Settings!$B$28:$B$31)</f>
        <v>85 to 94%</v>
      </c>
      <c r="S149" s="11" t="str">
        <f>IF(OR(N149&lt;Settings!$B$4,E149&lt;Settings!$B$5),"Yes","No")</f>
        <v>No</v>
      </c>
      <c r="T149" s="11">
        <f>RANK(N149,$N$2:$N$301,0)+COUNTIF($N$2:N149,N149)-1</f>
        <v>104</v>
      </c>
    </row>
    <row r="150" spans="1:20" x14ac:dyDescent="0.3">
      <c r="A150" s="24" t="s">
        <v>256</v>
      </c>
      <c r="B150" s="24" t="s">
        <v>45</v>
      </c>
      <c r="C150" s="24" t="s">
        <v>57</v>
      </c>
      <c r="D150" s="25">
        <v>10.9</v>
      </c>
      <c r="E150" s="24">
        <v>82</v>
      </c>
      <c r="F150" s="24" t="s">
        <v>64</v>
      </c>
      <c r="G150" s="24" t="s">
        <v>68</v>
      </c>
      <c r="H150" s="24" t="s">
        <v>67</v>
      </c>
      <c r="I150" s="24">
        <v>68</v>
      </c>
      <c r="J150" s="24">
        <v>68</v>
      </c>
      <c r="K150" s="24">
        <v>56</v>
      </c>
      <c r="L150" s="24">
        <v>68</v>
      </c>
      <c r="M150" s="24">
        <v>62</v>
      </c>
      <c r="N150" s="26">
        <f t="shared" si="2"/>
        <v>64.400000000000006</v>
      </c>
      <c r="O150" s="11" t="str">
        <f>LOOKUP(N150,Settings!$A$10:$A$14,Settings!$B$10:$B$14)</f>
        <v>C</v>
      </c>
      <c r="P150" s="11" t="str">
        <f>IF(N150&gt;=Settings!$B$3,"Pass","Fail")</f>
        <v>Pass</v>
      </c>
      <c r="Q150" s="11" t="str">
        <f>LOOKUP(D150,Settings!$A$19:$A$23,Settings!$B$19:$B$23)</f>
        <v>10 to 14 hrs</v>
      </c>
      <c r="R150" s="11" t="str">
        <f>LOOKUP(E150,Settings!$A$28:$A$31,Settings!$B$28:$B$31)</f>
        <v>75 to 84%</v>
      </c>
      <c r="S150" s="11" t="str">
        <f>IF(OR(N150&lt;Settings!$B$4,E150&lt;Settings!$B$5),"Yes","No")</f>
        <v>No</v>
      </c>
      <c r="T150" s="11">
        <f>RANK(N150,$N$2:$N$301,0)+COUNTIF($N$2:N150,N150)-1</f>
        <v>123</v>
      </c>
    </row>
    <row r="151" spans="1:20" x14ac:dyDescent="0.3">
      <c r="A151" s="24" t="s">
        <v>257</v>
      </c>
      <c r="B151" s="24" t="s">
        <v>45</v>
      </c>
      <c r="C151" s="24" t="s">
        <v>58</v>
      </c>
      <c r="D151" s="25">
        <v>10.1</v>
      </c>
      <c r="E151" s="24">
        <v>89</v>
      </c>
      <c r="F151" s="24" t="s">
        <v>64</v>
      </c>
      <c r="G151" s="24" t="s">
        <v>67</v>
      </c>
      <c r="H151" s="24" t="s">
        <v>67</v>
      </c>
      <c r="I151" s="24">
        <v>60</v>
      </c>
      <c r="J151" s="24">
        <v>57</v>
      </c>
      <c r="K151" s="24">
        <v>58</v>
      </c>
      <c r="L151" s="24">
        <v>64</v>
      </c>
      <c r="M151" s="24">
        <v>61</v>
      </c>
      <c r="N151" s="26">
        <f t="shared" si="2"/>
        <v>60</v>
      </c>
      <c r="O151" s="11" t="str">
        <f>LOOKUP(N151,Settings!$A$10:$A$14,Settings!$B$10:$B$14)</f>
        <v>C</v>
      </c>
      <c r="P151" s="11" t="str">
        <f>IF(N151&gt;=Settings!$B$3,"Pass","Fail")</f>
        <v>Pass</v>
      </c>
      <c r="Q151" s="11" t="str">
        <f>LOOKUP(D151,Settings!$A$19:$A$23,Settings!$B$19:$B$23)</f>
        <v>10 to 14 hrs</v>
      </c>
      <c r="R151" s="11" t="str">
        <f>LOOKUP(E151,Settings!$A$28:$A$31,Settings!$B$28:$B$31)</f>
        <v>85 to 94%</v>
      </c>
      <c r="S151" s="11" t="str">
        <f>IF(OR(N151&lt;Settings!$B$4,E151&lt;Settings!$B$5),"Yes","No")</f>
        <v>No</v>
      </c>
      <c r="T151" s="11">
        <f>RANK(N151,$N$2:$N$301,0)+COUNTIF($N$2:N151,N151)-1</f>
        <v>177</v>
      </c>
    </row>
    <row r="152" spans="1:20" x14ac:dyDescent="0.3">
      <c r="A152" s="24" t="s">
        <v>258</v>
      </c>
      <c r="B152" s="24" t="s">
        <v>46</v>
      </c>
      <c r="C152" s="24" t="s">
        <v>57</v>
      </c>
      <c r="D152" s="25">
        <v>13.4</v>
      </c>
      <c r="E152" s="24">
        <v>80</v>
      </c>
      <c r="F152" s="24" t="s">
        <v>62</v>
      </c>
      <c r="G152" s="24" t="s">
        <v>67</v>
      </c>
      <c r="H152" s="24" t="s">
        <v>68</v>
      </c>
      <c r="I152" s="24">
        <v>63</v>
      </c>
      <c r="J152" s="24">
        <v>59</v>
      </c>
      <c r="K152" s="24">
        <v>66</v>
      </c>
      <c r="L152" s="24">
        <v>52</v>
      </c>
      <c r="M152" s="24">
        <v>69</v>
      </c>
      <c r="N152" s="26">
        <f t="shared" si="2"/>
        <v>61.8</v>
      </c>
      <c r="O152" s="11" t="str">
        <f>LOOKUP(N152,Settings!$A$10:$A$14,Settings!$B$10:$B$14)</f>
        <v>C</v>
      </c>
      <c r="P152" s="11" t="str">
        <f>IF(N152&gt;=Settings!$B$3,"Pass","Fail")</f>
        <v>Pass</v>
      </c>
      <c r="Q152" s="11" t="str">
        <f>LOOKUP(D152,Settings!$A$19:$A$23,Settings!$B$19:$B$23)</f>
        <v>10 to 14 hrs</v>
      </c>
      <c r="R152" s="11" t="str">
        <f>LOOKUP(E152,Settings!$A$28:$A$31,Settings!$B$28:$B$31)</f>
        <v>75 to 84%</v>
      </c>
      <c r="S152" s="11" t="str">
        <f>IF(OR(N152&lt;Settings!$B$4,E152&lt;Settings!$B$5),"Yes","No")</f>
        <v>No</v>
      </c>
      <c r="T152" s="11">
        <f>RANK(N152,$N$2:$N$301,0)+COUNTIF($N$2:N152,N152)-1</f>
        <v>158</v>
      </c>
    </row>
    <row r="153" spans="1:20" x14ac:dyDescent="0.3">
      <c r="A153" s="24" t="s">
        <v>259</v>
      </c>
      <c r="B153" s="24" t="s">
        <v>46</v>
      </c>
      <c r="C153" s="24" t="s">
        <v>59</v>
      </c>
      <c r="D153" s="25">
        <v>10.7</v>
      </c>
      <c r="E153" s="24">
        <v>90</v>
      </c>
      <c r="F153" s="24" t="s">
        <v>63</v>
      </c>
      <c r="G153" s="24" t="s">
        <v>67</v>
      </c>
      <c r="H153" s="24" t="s">
        <v>68</v>
      </c>
      <c r="I153" s="24">
        <v>79</v>
      </c>
      <c r="J153" s="24">
        <v>63</v>
      </c>
      <c r="K153" s="24">
        <v>74</v>
      </c>
      <c r="L153" s="24">
        <v>55</v>
      </c>
      <c r="M153" s="24">
        <v>73</v>
      </c>
      <c r="N153" s="26">
        <f t="shared" si="2"/>
        <v>68.8</v>
      </c>
      <c r="O153" s="11" t="str">
        <f>LOOKUP(N153,Settings!$A$10:$A$14,Settings!$B$10:$B$14)</f>
        <v>C</v>
      </c>
      <c r="P153" s="11" t="str">
        <f>IF(N153&gt;=Settings!$B$3,"Pass","Fail")</f>
        <v>Pass</v>
      </c>
      <c r="Q153" s="11" t="str">
        <f>LOOKUP(D153,Settings!$A$19:$A$23,Settings!$B$19:$B$23)</f>
        <v>10 to 14 hrs</v>
      </c>
      <c r="R153" s="11" t="str">
        <f>LOOKUP(E153,Settings!$A$28:$A$31,Settings!$B$28:$B$31)</f>
        <v>85 to 94%</v>
      </c>
      <c r="S153" s="11" t="str">
        <f>IF(OR(N153&lt;Settings!$B$4,E153&lt;Settings!$B$5),"Yes","No")</f>
        <v>No</v>
      </c>
      <c r="T153" s="11">
        <f>RANK(N153,$N$2:$N$301,0)+COUNTIF($N$2:N153,N153)-1</f>
        <v>69</v>
      </c>
    </row>
    <row r="154" spans="1:20" x14ac:dyDescent="0.3">
      <c r="A154" s="24" t="s">
        <v>260</v>
      </c>
      <c r="B154" s="24" t="s">
        <v>45</v>
      </c>
      <c r="C154" s="24" t="s">
        <v>59</v>
      </c>
      <c r="D154" s="25">
        <v>11.8</v>
      </c>
      <c r="E154" s="24">
        <v>90</v>
      </c>
      <c r="F154" s="24" t="s">
        <v>62</v>
      </c>
      <c r="G154" s="24" t="s">
        <v>67</v>
      </c>
      <c r="H154" s="24" t="s">
        <v>67</v>
      </c>
      <c r="I154" s="24">
        <v>69</v>
      </c>
      <c r="J154" s="24">
        <v>69</v>
      </c>
      <c r="K154" s="24">
        <v>78</v>
      </c>
      <c r="L154" s="24">
        <v>71</v>
      </c>
      <c r="M154" s="24">
        <v>68</v>
      </c>
      <c r="N154" s="26">
        <f t="shared" si="2"/>
        <v>71</v>
      </c>
      <c r="O154" s="11" t="str">
        <f>LOOKUP(N154,Settings!$A$10:$A$14,Settings!$B$10:$B$14)</f>
        <v>B</v>
      </c>
      <c r="P154" s="11" t="str">
        <f>IF(N154&gt;=Settings!$B$3,"Pass","Fail")</f>
        <v>Pass</v>
      </c>
      <c r="Q154" s="11" t="str">
        <f>LOOKUP(D154,Settings!$A$19:$A$23,Settings!$B$19:$B$23)</f>
        <v>10 to 14 hrs</v>
      </c>
      <c r="R154" s="11" t="str">
        <f>LOOKUP(E154,Settings!$A$28:$A$31,Settings!$B$28:$B$31)</f>
        <v>85 to 94%</v>
      </c>
      <c r="S154" s="11" t="str">
        <f>IF(OR(N154&lt;Settings!$B$4,E154&lt;Settings!$B$5),"Yes","No")</f>
        <v>No</v>
      </c>
      <c r="T154" s="11">
        <f>RANK(N154,$N$2:$N$301,0)+COUNTIF($N$2:N154,N154)-1</f>
        <v>47</v>
      </c>
    </row>
    <row r="155" spans="1:20" x14ac:dyDescent="0.3">
      <c r="A155" s="24" t="s">
        <v>261</v>
      </c>
      <c r="B155" s="24" t="s">
        <v>46</v>
      </c>
      <c r="C155" s="24" t="s">
        <v>57</v>
      </c>
      <c r="D155" s="25">
        <v>12.4</v>
      </c>
      <c r="E155" s="24">
        <v>63</v>
      </c>
      <c r="F155" s="24" t="s">
        <v>63</v>
      </c>
      <c r="G155" s="24" t="s">
        <v>67</v>
      </c>
      <c r="H155" s="24" t="s">
        <v>67</v>
      </c>
      <c r="I155" s="24">
        <v>73</v>
      </c>
      <c r="J155" s="24">
        <v>61</v>
      </c>
      <c r="K155" s="24">
        <v>70</v>
      </c>
      <c r="L155" s="24">
        <v>64</v>
      </c>
      <c r="M155" s="24">
        <v>68</v>
      </c>
      <c r="N155" s="26">
        <f t="shared" si="2"/>
        <v>67.2</v>
      </c>
      <c r="O155" s="11" t="str">
        <f>LOOKUP(N155,Settings!$A$10:$A$14,Settings!$B$10:$B$14)</f>
        <v>C</v>
      </c>
      <c r="P155" s="11" t="str">
        <f>IF(N155&gt;=Settings!$B$3,"Pass","Fail")</f>
        <v>Pass</v>
      </c>
      <c r="Q155" s="11" t="str">
        <f>LOOKUP(D155,Settings!$A$19:$A$23,Settings!$B$19:$B$23)</f>
        <v>10 to 14 hrs</v>
      </c>
      <c r="R155" s="11" t="str">
        <f>LOOKUP(E155,Settings!$A$28:$A$31,Settings!$B$28:$B$31)</f>
        <v>Below 75%</v>
      </c>
      <c r="S155" s="11" t="str">
        <f>IF(OR(N155&lt;Settings!$B$4,E155&lt;Settings!$B$5),"Yes","No")</f>
        <v>Yes</v>
      </c>
      <c r="T155" s="11">
        <f>RANK(N155,$N$2:$N$301,0)+COUNTIF($N$2:N155,N155)-1</f>
        <v>89</v>
      </c>
    </row>
    <row r="156" spans="1:20" x14ac:dyDescent="0.3">
      <c r="A156" s="24" t="s">
        <v>262</v>
      </c>
      <c r="B156" s="24" t="s">
        <v>45</v>
      </c>
      <c r="C156" s="24" t="s">
        <v>57</v>
      </c>
      <c r="D156" s="25">
        <v>8.6</v>
      </c>
      <c r="E156" s="24">
        <v>95</v>
      </c>
      <c r="F156" s="24" t="s">
        <v>63</v>
      </c>
      <c r="G156" s="24" t="s">
        <v>67</v>
      </c>
      <c r="H156" s="24" t="s">
        <v>68</v>
      </c>
      <c r="I156" s="24">
        <v>56</v>
      </c>
      <c r="J156" s="24">
        <v>59</v>
      </c>
      <c r="K156" s="24">
        <v>58</v>
      </c>
      <c r="L156" s="24">
        <v>52</v>
      </c>
      <c r="M156" s="24">
        <v>52</v>
      </c>
      <c r="N156" s="26">
        <f t="shared" si="2"/>
        <v>55.4</v>
      </c>
      <c r="O156" s="11" t="str">
        <f>LOOKUP(N156,Settings!$A$10:$A$14,Settings!$B$10:$B$14)</f>
        <v>D</v>
      </c>
      <c r="P156" s="11" t="str">
        <f>IF(N156&gt;=Settings!$B$3,"Pass","Fail")</f>
        <v>Pass</v>
      </c>
      <c r="Q156" s="11" t="str">
        <f>LOOKUP(D156,Settings!$A$19:$A$23,Settings!$B$19:$B$23)</f>
        <v>5 to 9 hrs</v>
      </c>
      <c r="R156" s="11" t="str">
        <f>LOOKUP(E156,Settings!$A$28:$A$31,Settings!$B$28:$B$31)</f>
        <v>95 to 100%</v>
      </c>
      <c r="S156" s="11" t="str">
        <f>IF(OR(N156&lt;Settings!$B$4,E156&lt;Settings!$B$5),"Yes","No")</f>
        <v>No</v>
      </c>
      <c r="T156" s="11">
        <f>RANK(N156,$N$2:$N$301,0)+COUNTIF($N$2:N156,N156)-1</f>
        <v>222</v>
      </c>
    </row>
    <row r="157" spans="1:20" x14ac:dyDescent="0.3">
      <c r="A157" s="24" t="s">
        <v>263</v>
      </c>
      <c r="B157" s="24" t="s">
        <v>46</v>
      </c>
      <c r="C157" s="24" t="s">
        <v>57</v>
      </c>
      <c r="D157" s="25">
        <v>14.7</v>
      </c>
      <c r="E157" s="24">
        <v>62</v>
      </c>
      <c r="F157" s="24" t="s">
        <v>62</v>
      </c>
      <c r="G157" s="24" t="s">
        <v>67</v>
      </c>
      <c r="H157" s="24" t="s">
        <v>67</v>
      </c>
      <c r="I157" s="24">
        <v>56</v>
      </c>
      <c r="J157" s="24">
        <v>53</v>
      </c>
      <c r="K157" s="24">
        <v>62</v>
      </c>
      <c r="L157" s="24">
        <v>58</v>
      </c>
      <c r="M157" s="24">
        <v>54</v>
      </c>
      <c r="N157" s="26">
        <f t="shared" si="2"/>
        <v>56.6</v>
      </c>
      <c r="O157" s="11" t="str">
        <f>LOOKUP(N157,Settings!$A$10:$A$14,Settings!$B$10:$B$14)</f>
        <v>D</v>
      </c>
      <c r="P157" s="11" t="str">
        <f>IF(N157&gt;=Settings!$B$3,"Pass","Fail")</f>
        <v>Pass</v>
      </c>
      <c r="Q157" s="11" t="str">
        <f>LOOKUP(D157,Settings!$A$19:$A$23,Settings!$B$19:$B$23)</f>
        <v>10 to 14 hrs</v>
      </c>
      <c r="R157" s="11" t="str">
        <f>LOOKUP(E157,Settings!$A$28:$A$31,Settings!$B$28:$B$31)</f>
        <v>Below 75%</v>
      </c>
      <c r="S157" s="11" t="str">
        <f>IF(OR(N157&lt;Settings!$B$4,E157&lt;Settings!$B$5),"Yes","No")</f>
        <v>Yes</v>
      </c>
      <c r="T157" s="11">
        <f>RANK(N157,$N$2:$N$301,0)+COUNTIF($N$2:N157,N157)-1</f>
        <v>207</v>
      </c>
    </row>
    <row r="158" spans="1:20" x14ac:dyDescent="0.3">
      <c r="A158" s="24" t="s">
        <v>264</v>
      </c>
      <c r="B158" s="24" t="s">
        <v>45</v>
      </c>
      <c r="C158" s="24" t="s">
        <v>59</v>
      </c>
      <c r="D158" s="25">
        <v>26.6</v>
      </c>
      <c r="E158" s="24">
        <v>85</v>
      </c>
      <c r="F158" s="24" t="s">
        <v>63</v>
      </c>
      <c r="G158" s="24" t="s">
        <v>68</v>
      </c>
      <c r="H158" s="24" t="s">
        <v>68</v>
      </c>
      <c r="I158" s="24">
        <v>77</v>
      </c>
      <c r="J158" s="24">
        <v>72</v>
      </c>
      <c r="K158" s="24">
        <v>74</v>
      </c>
      <c r="L158" s="24">
        <v>81</v>
      </c>
      <c r="M158" s="24">
        <v>81</v>
      </c>
      <c r="N158" s="26">
        <f t="shared" si="2"/>
        <v>77</v>
      </c>
      <c r="O158" s="11" t="str">
        <f>LOOKUP(N158,Settings!$A$10:$A$14,Settings!$B$10:$B$14)</f>
        <v>B</v>
      </c>
      <c r="P158" s="11" t="str">
        <f>IF(N158&gt;=Settings!$B$3,"Pass","Fail")</f>
        <v>Pass</v>
      </c>
      <c r="Q158" s="11" t="str">
        <f>LOOKUP(D158,Settings!$A$19:$A$23,Settings!$B$19:$B$23)</f>
        <v>20+ hrs</v>
      </c>
      <c r="R158" s="11" t="str">
        <f>LOOKUP(E158,Settings!$A$28:$A$31,Settings!$B$28:$B$31)</f>
        <v>85 to 94%</v>
      </c>
      <c r="S158" s="11" t="str">
        <f>IF(OR(N158&lt;Settings!$B$4,E158&lt;Settings!$B$5),"Yes","No")</f>
        <v>No</v>
      </c>
      <c r="T158" s="11">
        <f>RANK(N158,$N$2:$N$301,0)+COUNTIF($N$2:N158,N158)-1</f>
        <v>18</v>
      </c>
    </row>
    <row r="159" spans="1:20" x14ac:dyDescent="0.3">
      <c r="A159" s="24" t="s">
        <v>265</v>
      </c>
      <c r="B159" s="24" t="s">
        <v>46</v>
      </c>
      <c r="C159" s="24" t="s">
        <v>58</v>
      </c>
      <c r="D159" s="25">
        <v>3.1</v>
      </c>
      <c r="E159" s="24">
        <v>92</v>
      </c>
      <c r="F159" s="24" t="s">
        <v>64</v>
      </c>
      <c r="G159" s="24" t="s">
        <v>67</v>
      </c>
      <c r="H159" s="24" t="s">
        <v>68</v>
      </c>
      <c r="I159" s="24">
        <v>66</v>
      </c>
      <c r="J159" s="24">
        <v>59</v>
      </c>
      <c r="K159" s="24">
        <v>55</v>
      </c>
      <c r="L159" s="24">
        <v>62</v>
      </c>
      <c r="M159" s="24">
        <v>60</v>
      </c>
      <c r="N159" s="26">
        <f t="shared" si="2"/>
        <v>60.4</v>
      </c>
      <c r="O159" s="11" t="str">
        <f>LOOKUP(N159,Settings!$A$10:$A$14,Settings!$B$10:$B$14)</f>
        <v>C</v>
      </c>
      <c r="P159" s="11" t="str">
        <f>IF(N159&gt;=Settings!$B$3,"Pass","Fail")</f>
        <v>Pass</v>
      </c>
      <c r="Q159" s="11" t="str">
        <f>LOOKUP(D159,Settings!$A$19:$A$23,Settings!$B$19:$B$23)</f>
        <v>0 to 4 hrs</v>
      </c>
      <c r="R159" s="11" t="str">
        <f>LOOKUP(E159,Settings!$A$28:$A$31,Settings!$B$28:$B$31)</f>
        <v>85 to 94%</v>
      </c>
      <c r="S159" s="11" t="str">
        <f>IF(OR(N159&lt;Settings!$B$4,E159&lt;Settings!$B$5),"Yes","No")</f>
        <v>No</v>
      </c>
      <c r="T159" s="11">
        <f>RANK(N159,$N$2:$N$301,0)+COUNTIF($N$2:N159,N159)-1</f>
        <v>172</v>
      </c>
    </row>
    <row r="160" spans="1:20" x14ac:dyDescent="0.3">
      <c r="A160" s="24" t="s">
        <v>266</v>
      </c>
      <c r="B160" s="24" t="s">
        <v>46</v>
      </c>
      <c r="C160" s="24" t="s">
        <v>59</v>
      </c>
      <c r="D160" s="25">
        <v>13.6</v>
      </c>
      <c r="E160" s="24">
        <v>84</v>
      </c>
      <c r="F160" s="24" t="s">
        <v>62</v>
      </c>
      <c r="G160" s="24" t="s">
        <v>67</v>
      </c>
      <c r="H160" s="24" t="s">
        <v>68</v>
      </c>
      <c r="I160" s="24">
        <v>64</v>
      </c>
      <c r="J160" s="24">
        <v>62</v>
      </c>
      <c r="K160" s="24">
        <v>54</v>
      </c>
      <c r="L160" s="24">
        <v>60</v>
      </c>
      <c r="M160" s="24">
        <v>63</v>
      </c>
      <c r="N160" s="26">
        <f t="shared" si="2"/>
        <v>60.6</v>
      </c>
      <c r="O160" s="11" t="str">
        <f>LOOKUP(N160,Settings!$A$10:$A$14,Settings!$B$10:$B$14)</f>
        <v>C</v>
      </c>
      <c r="P160" s="11" t="str">
        <f>IF(N160&gt;=Settings!$B$3,"Pass","Fail")</f>
        <v>Pass</v>
      </c>
      <c r="Q160" s="11" t="str">
        <f>LOOKUP(D160,Settings!$A$19:$A$23,Settings!$B$19:$B$23)</f>
        <v>10 to 14 hrs</v>
      </c>
      <c r="R160" s="11" t="str">
        <f>LOOKUP(E160,Settings!$A$28:$A$31,Settings!$B$28:$B$31)</f>
        <v>75 to 84%</v>
      </c>
      <c r="S160" s="11" t="str">
        <f>IF(OR(N160&lt;Settings!$B$4,E160&lt;Settings!$B$5),"Yes","No")</f>
        <v>No</v>
      </c>
      <c r="T160" s="11">
        <f>RANK(N160,$N$2:$N$301,0)+COUNTIF($N$2:N160,N160)-1</f>
        <v>169</v>
      </c>
    </row>
    <row r="161" spans="1:20" x14ac:dyDescent="0.3">
      <c r="A161" s="24" t="s">
        <v>267</v>
      </c>
      <c r="B161" s="24" t="s">
        <v>46</v>
      </c>
      <c r="C161" s="24" t="s">
        <v>58</v>
      </c>
      <c r="D161" s="25">
        <v>8.1999999999999993</v>
      </c>
      <c r="E161" s="24">
        <v>73</v>
      </c>
      <c r="F161" s="24" t="s">
        <v>63</v>
      </c>
      <c r="G161" s="24" t="s">
        <v>68</v>
      </c>
      <c r="H161" s="24" t="s">
        <v>67</v>
      </c>
      <c r="I161" s="24">
        <v>36</v>
      </c>
      <c r="J161" s="24">
        <v>48</v>
      </c>
      <c r="K161" s="24">
        <v>37</v>
      </c>
      <c r="L161" s="24">
        <v>52</v>
      </c>
      <c r="M161" s="24">
        <v>46</v>
      </c>
      <c r="N161" s="26">
        <f t="shared" si="2"/>
        <v>43.8</v>
      </c>
      <c r="O161" s="11" t="str">
        <f>LOOKUP(N161,Settings!$A$10:$A$14,Settings!$B$10:$B$14)</f>
        <v>F</v>
      </c>
      <c r="P161" s="11" t="str">
        <f>IF(N161&gt;=Settings!$B$3,"Pass","Fail")</f>
        <v>Fail</v>
      </c>
      <c r="Q161" s="11" t="str">
        <f>LOOKUP(D161,Settings!$A$19:$A$23,Settings!$B$19:$B$23)</f>
        <v>5 to 9 hrs</v>
      </c>
      <c r="R161" s="11" t="str">
        <f>LOOKUP(E161,Settings!$A$28:$A$31,Settings!$B$28:$B$31)</f>
        <v>Below 75%</v>
      </c>
      <c r="S161" s="11" t="str">
        <f>IF(OR(N161&lt;Settings!$B$4,E161&lt;Settings!$B$5),"Yes","No")</f>
        <v>Yes</v>
      </c>
      <c r="T161" s="11">
        <f>RANK(N161,$N$2:$N$301,0)+COUNTIF($N$2:N161,N161)-1</f>
        <v>291</v>
      </c>
    </row>
    <row r="162" spans="1:20" x14ac:dyDescent="0.3">
      <c r="A162" s="24" t="s">
        <v>268</v>
      </c>
      <c r="B162" s="24" t="s">
        <v>45</v>
      </c>
      <c r="C162" s="24" t="s">
        <v>58</v>
      </c>
      <c r="D162" s="25">
        <v>14.9</v>
      </c>
      <c r="E162" s="24">
        <v>78</v>
      </c>
      <c r="F162" s="24" t="s">
        <v>63</v>
      </c>
      <c r="G162" s="24" t="s">
        <v>68</v>
      </c>
      <c r="H162" s="24" t="s">
        <v>68</v>
      </c>
      <c r="I162" s="24">
        <v>59</v>
      </c>
      <c r="J162" s="24">
        <v>55</v>
      </c>
      <c r="K162" s="24">
        <v>63</v>
      </c>
      <c r="L162" s="24">
        <v>63</v>
      </c>
      <c r="M162" s="24">
        <v>60</v>
      </c>
      <c r="N162" s="26">
        <f t="shared" si="2"/>
        <v>60</v>
      </c>
      <c r="O162" s="11" t="str">
        <f>LOOKUP(N162,Settings!$A$10:$A$14,Settings!$B$10:$B$14)</f>
        <v>C</v>
      </c>
      <c r="P162" s="11" t="str">
        <f>IF(N162&gt;=Settings!$B$3,"Pass","Fail")</f>
        <v>Pass</v>
      </c>
      <c r="Q162" s="11" t="str">
        <f>LOOKUP(D162,Settings!$A$19:$A$23,Settings!$B$19:$B$23)</f>
        <v>10 to 14 hrs</v>
      </c>
      <c r="R162" s="11" t="str">
        <f>LOOKUP(E162,Settings!$A$28:$A$31,Settings!$B$28:$B$31)</f>
        <v>75 to 84%</v>
      </c>
      <c r="S162" s="11" t="str">
        <f>IF(OR(N162&lt;Settings!$B$4,E162&lt;Settings!$B$5),"Yes","No")</f>
        <v>No</v>
      </c>
      <c r="T162" s="11">
        <f>RANK(N162,$N$2:$N$301,0)+COUNTIF($N$2:N162,N162)-1</f>
        <v>178</v>
      </c>
    </row>
    <row r="163" spans="1:20" x14ac:dyDescent="0.3">
      <c r="A163" s="24" t="s">
        <v>269</v>
      </c>
      <c r="B163" s="24" t="s">
        <v>46</v>
      </c>
      <c r="C163" s="24" t="s">
        <v>57</v>
      </c>
      <c r="D163" s="25">
        <v>12.2</v>
      </c>
      <c r="E163" s="24">
        <v>94</v>
      </c>
      <c r="F163" s="24" t="s">
        <v>62</v>
      </c>
      <c r="G163" s="24" t="s">
        <v>67</v>
      </c>
      <c r="H163" s="24" t="s">
        <v>67</v>
      </c>
      <c r="I163" s="24">
        <v>73</v>
      </c>
      <c r="J163" s="24">
        <v>61</v>
      </c>
      <c r="K163" s="24">
        <v>62</v>
      </c>
      <c r="L163" s="24">
        <v>60</v>
      </c>
      <c r="M163" s="24">
        <v>66</v>
      </c>
      <c r="N163" s="26">
        <f t="shared" si="2"/>
        <v>64.400000000000006</v>
      </c>
      <c r="O163" s="11" t="str">
        <f>LOOKUP(N163,Settings!$A$10:$A$14,Settings!$B$10:$B$14)</f>
        <v>C</v>
      </c>
      <c r="P163" s="11" t="str">
        <f>IF(N163&gt;=Settings!$B$3,"Pass","Fail")</f>
        <v>Pass</v>
      </c>
      <c r="Q163" s="11" t="str">
        <f>LOOKUP(D163,Settings!$A$19:$A$23,Settings!$B$19:$B$23)</f>
        <v>10 to 14 hrs</v>
      </c>
      <c r="R163" s="11" t="str">
        <f>LOOKUP(E163,Settings!$A$28:$A$31,Settings!$B$28:$B$31)</f>
        <v>85 to 94%</v>
      </c>
      <c r="S163" s="11" t="str">
        <f>IF(OR(N163&lt;Settings!$B$4,E163&lt;Settings!$B$5),"Yes","No")</f>
        <v>No</v>
      </c>
      <c r="T163" s="11">
        <f>RANK(N163,$N$2:$N$301,0)+COUNTIF($N$2:N163,N163)-1</f>
        <v>124</v>
      </c>
    </row>
    <row r="164" spans="1:20" x14ac:dyDescent="0.3">
      <c r="A164" s="24" t="s">
        <v>270</v>
      </c>
      <c r="B164" s="24" t="s">
        <v>45</v>
      </c>
      <c r="C164" s="24" t="s">
        <v>59</v>
      </c>
      <c r="D164" s="25">
        <v>15.8</v>
      </c>
      <c r="E164" s="24">
        <v>72</v>
      </c>
      <c r="F164" s="24" t="s">
        <v>62</v>
      </c>
      <c r="G164" s="24" t="s">
        <v>67</v>
      </c>
      <c r="H164" s="24" t="s">
        <v>68</v>
      </c>
      <c r="I164" s="24">
        <v>59</v>
      </c>
      <c r="J164" s="24">
        <v>68</v>
      </c>
      <c r="K164" s="24">
        <v>65</v>
      </c>
      <c r="L164" s="24">
        <v>69</v>
      </c>
      <c r="M164" s="24">
        <v>67</v>
      </c>
      <c r="N164" s="26">
        <f t="shared" si="2"/>
        <v>65.599999999999994</v>
      </c>
      <c r="O164" s="11" t="str">
        <f>LOOKUP(N164,Settings!$A$10:$A$14,Settings!$B$10:$B$14)</f>
        <v>C</v>
      </c>
      <c r="P164" s="11" t="str">
        <f>IF(N164&gt;=Settings!$B$3,"Pass","Fail")</f>
        <v>Pass</v>
      </c>
      <c r="Q164" s="11" t="str">
        <f>LOOKUP(D164,Settings!$A$19:$A$23,Settings!$B$19:$B$23)</f>
        <v>15 to 19 hrs</v>
      </c>
      <c r="R164" s="11" t="str">
        <f>LOOKUP(E164,Settings!$A$28:$A$31,Settings!$B$28:$B$31)</f>
        <v>Below 75%</v>
      </c>
      <c r="S164" s="11" t="str">
        <f>IF(OR(N164&lt;Settings!$B$4,E164&lt;Settings!$B$5),"Yes","No")</f>
        <v>Yes</v>
      </c>
      <c r="T164" s="11">
        <f>RANK(N164,$N$2:$N$301,0)+COUNTIF($N$2:N164,N164)-1</f>
        <v>106</v>
      </c>
    </row>
    <row r="165" spans="1:20" x14ac:dyDescent="0.3">
      <c r="A165" s="24" t="s">
        <v>271</v>
      </c>
      <c r="B165" s="24" t="s">
        <v>45</v>
      </c>
      <c r="C165" s="24" t="s">
        <v>57</v>
      </c>
      <c r="D165" s="25">
        <v>17.899999999999999</v>
      </c>
      <c r="E165" s="24">
        <v>97</v>
      </c>
      <c r="F165" s="24" t="s">
        <v>62</v>
      </c>
      <c r="G165" s="24" t="s">
        <v>67</v>
      </c>
      <c r="H165" s="24" t="s">
        <v>67</v>
      </c>
      <c r="I165" s="24">
        <v>57</v>
      </c>
      <c r="J165" s="24">
        <v>65</v>
      </c>
      <c r="K165" s="24">
        <v>72</v>
      </c>
      <c r="L165" s="24">
        <v>64</v>
      </c>
      <c r="M165" s="24">
        <v>74</v>
      </c>
      <c r="N165" s="26">
        <f t="shared" si="2"/>
        <v>66.400000000000006</v>
      </c>
      <c r="O165" s="11" t="str">
        <f>LOOKUP(N165,Settings!$A$10:$A$14,Settings!$B$10:$B$14)</f>
        <v>C</v>
      </c>
      <c r="P165" s="11" t="str">
        <f>IF(N165&gt;=Settings!$B$3,"Pass","Fail")</f>
        <v>Pass</v>
      </c>
      <c r="Q165" s="11" t="str">
        <f>LOOKUP(D165,Settings!$A$19:$A$23,Settings!$B$19:$B$23)</f>
        <v>15 to 19 hrs</v>
      </c>
      <c r="R165" s="11" t="str">
        <f>LOOKUP(E165,Settings!$A$28:$A$31,Settings!$B$28:$B$31)</f>
        <v>95 to 100%</v>
      </c>
      <c r="S165" s="11" t="str">
        <f>IF(OR(N165&lt;Settings!$B$4,E165&lt;Settings!$B$5),"Yes","No")</f>
        <v>No</v>
      </c>
      <c r="T165" s="11">
        <f>RANK(N165,$N$2:$N$301,0)+COUNTIF($N$2:N165,N165)-1</f>
        <v>98</v>
      </c>
    </row>
    <row r="166" spans="1:20" x14ac:dyDescent="0.3">
      <c r="A166" s="24" t="s">
        <v>272</v>
      </c>
      <c r="B166" s="24" t="s">
        <v>46</v>
      </c>
      <c r="C166" s="24" t="s">
        <v>58</v>
      </c>
      <c r="D166" s="25">
        <v>13</v>
      </c>
      <c r="E166" s="24">
        <v>86</v>
      </c>
      <c r="F166" s="24" t="s">
        <v>64</v>
      </c>
      <c r="G166" s="24" t="s">
        <v>67</v>
      </c>
      <c r="H166" s="24" t="s">
        <v>68</v>
      </c>
      <c r="I166" s="24">
        <v>75</v>
      </c>
      <c r="J166" s="24">
        <v>60</v>
      </c>
      <c r="K166" s="24">
        <v>63</v>
      </c>
      <c r="L166" s="24">
        <v>79</v>
      </c>
      <c r="M166" s="24">
        <v>62</v>
      </c>
      <c r="N166" s="26">
        <f t="shared" si="2"/>
        <v>67.8</v>
      </c>
      <c r="O166" s="11" t="str">
        <f>LOOKUP(N166,Settings!$A$10:$A$14,Settings!$B$10:$B$14)</f>
        <v>C</v>
      </c>
      <c r="P166" s="11" t="str">
        <f>IF(N166&gt;=Settings!$B$3,"Pass","Fail")</f>
        <v>Pass</v>
      </c>
      <c r="Q166" s="11" t="str">
        <f>LOOKUP(D166,Settings!$A$19:$A$23,Settings!$B$19:$B$23)</f>
        <v>10 to 14 hrs</v>
      </c>
      <c r="R166" s="11" t="str">
        <f>LOOKUP(E166,Settings!$A$28:$A$31,Settings!$B$28:$B$31)</f>
        <v>85 to 94%</v>
      </c>
      <c r="S166" s="11" t="str">
        <f>IF(OR(N166&lt;Settings!$B$4,E166&lt;Settings!$B$5),"Yes","No")</f>
        <v>No</v>
      </c>
      <c r="T166" s="11">
        <f>RANK(N166,$N$2:$N$301,0)+COUNTIF($N$2:N166,N166)-1</f>
        <v>78</v>
      </c>
    </row>
    <row r="167" spans="1:20" x14ac:dyDescent="0.3">
      <c r="A167" s="24" t="s">
        <v>273</v>
      </c>
      <c r="B167" s="24" t="s">
        <v>45</v>
      </c>
      <c r="C167" s="24" t="s">
        <v>58</v>
      </c>
      <c r="D167" s="25">
        <v>17.7</v>
      </c>
      <c r="E167" s="24">
        <v>78</v>
      </c>
      <c r="F167" s="24" t="s">
        <v>62</v>
      </c>
      <c r="G167" s="24" t="s">
        <v>68</v>
      </c>
      <c r="H167" s="24" t="s">
        <v>68</v>
      </c>
      <c r="I167" s="24">
        <v>67</v>
      </c>
      <c r="J167" s="24">
        <v>65</v>
      </c>
      <c r="K167" s="24">
        <v>66</v>
      </c>
      <c r="L167" s="24">
        <v>67</v>
      </c>
      <c r="M167" s="24">
        <v>70</v>
      </c>
      <c r="N167" s="26">
        <f t="shared" si="2"/>
        <v>67</v>
      </c>
      <c r="O167" s="11" t="str">
        <f>LOOKUP(N167,Settings!$A$10:$A$14,Settings!$B$10:$B$14)</f>
        <v>C</v>
      </c>
      <c r="P167" s="11" t="str">
        <f>IF(N167&gt;=Settings!$B$3,"Pass","Fail")</f>
        <v>Pass</v>
      </c>
      <c r="Q167" s="11" t="str">
        <f>LOOKUP(D167,Settings!$A$19:$A$23,Settings!$B$19:$B$23)</f>
        <v>15 to 19 hrs</v>
      </c>
      <c r="R167" s="11" t="str">
        <f>LOOKUP(E167,Settings!$A$28:$A$31,Settings!$B$28:$B$31)</f>
        <v>75 to 84%</v>
      </c>
      <c r="S167" s="11" t="str">
        <f>IF(OR(N167&lt;Settings!$B$4,E167&lt;Settings!$B$5),"Yes","No")</f>
        <v>No</v>
      </c>
      <c r="T167" s="11">
        <f>RANK(N167,$N$2:$N$301,0)+COUNTIF($N$2:N167,N167)-1</f>
        <v>93</v>
      </c>
    </row>
    <row r="168" spans="1:20" x14ac:dyDescent="0.3">
      <c r="A168" s="24" t="s">
        <v>274</v>
      </c>
      <c r="B168" s="24" t="s">
        <v>46</v>
      </c>
      <c r="C168" s="24" t="s">
        <v>58</v>
      </c>
      <c r="D168" s="25">
        <v>1</v>
      </c>
      <c r="E168" s="24">
        <v>78</v>
      </c>
      <c r="F168" s="24" t="s">
        <v>62</v>
      </c>
      <c r="G168" s="24" t="s">
        <v>67</v>
      </c>
      <c r="H168" s="24" t="s">
        <v>67</v>
      </c>
      <c r="I168" s="24">
        <v>47</v>
      </c>
      <c r="J168" s="24">
        <v>55</v>
      </c>
      <c r="K168" s="24">
        <v>45</v>
      </c>
      <c r="L168" s="24">
        <v>48</v>
      </c>
      <c r="M168" s="24">
        <v>48</v>
      </c>
      <c r="N168" s="26">
        <f t="shared" si="2"/>
        <v>48.6</v>
      </c>
      <c r="O168" s="11" t="str">
        <f>LOOKUP(N168,Settings!$A$10:$A$14,Settings!$B$10:$B$14)</f>
        <v>F</v>
      </c>
      <c r="P168" s="11" t="str">
        <f>IF(N168&gt;=Settings!$B$3,"Pass","Fail")</f>
        <v>Fail</v>
      </c>
      <c r="Q168" s="11" t="str">
        <f>LOOKUP(D168,Settings!$A$19:$A$23,Settings!$B$19:$B$23)</f>
        <v>0 to 4 hrs</v>
      </c>
      <c r="R168" s="11" t="str">
        <f>LOOKUP(E168,Settings!$A$28:$A$31,Settings!$B$28:$B$31)</f>
        <v>75 to 84%</v>
      </c>
      <c r="S168" s="11" t="str">
        <f>IF(OR(N168&lt;Settings!$B$4,E168&lt;Settings!$B$5),"Yes","No")</f>
        <v>Yes</v>
      </c>
      <c r="T168" s="11">
        <f>RANK(N168,$N$2:$N$301,0)+COUNTIF($N$2:N168,N168)-1</f>
        <v>274</v>
      </c>
    </row>
    <row r="169" spans="1:20" x14ac:dyDescent="0.3">
      <c r="A169" s="24" t="s">
        <v>275</v>
      </c>
      <c r="B169" s="24" t="s">
        <v>46</v>
      </c>
      <c r="C169" s="24" t="s">
        <v>59</v>
      </c>
      <c r="D169" s="25">
        <v>20</v>
      </c>
      <c r="E169" s="24">
        <v>80</v>
      </c>
      <c r="F169" s="24" t="s">
        <v>62</v>
      </c>
      <c r="G169" s="24" t="s">
        <v>68</v>
      </c>
      <c r="H169" s="24" t="s">
        <v>67</v>
      </c>
      <c r="I169" s="24">
        <v>70</v>
      </c>
      <c r="J169" s="24">
        <v>80</v>
      </c>
      <c r="K169" s="24">
        <v>72</v>
      </c>
      <c r="L169" s="24">
        <v>74</v>
      </c>
      <c r="M169" s="24">
        <v>74</v>
      </c>
      <c r="N169" s="26">
        <f t="shared" si="2"/>
        <v>74</v>
      </c>
      <c r="O169" s="11" t="str">
        <f>LOOKUP(N169,Settings!$A$10:$A$14,Settings!$B$10:$B$14)</f>
        <v>B</v>
      </c>
      <c r="P169" s="11" t="str">
        <f>IF(N169&gt;=Settings!$B$3,"Pass","Fail")</f>
        <v>Pass</v>
      </c>
      <c r="Q169" s="11" t="str">
        <f>LOOKUP(D169,Settings!$A$19:$A$23,Settings!$B$19:$B$23)</f>
        <v>20+ hrs</v>
      </c>
      <c r="R169" s="11" t="str">
        <f>LOOKUP(E169,Settings!$A$28:$A$31,Settings!$B$28:$B$31)</f>
        <v>75 to 84%</v>
      </c>
      <c r="S169" s="11" t="str">
        <f>IF(OR(N169&lt;Settings!$B$4,E169&lt;Settings!$B$5),"Yes","No")</f>
        <v>No</v>
      </c>
      <c r="T169" s="11">
        <f>RANK(N169,$N$2:$N$301,0)+COUNTIF($N$2:N169,N169)-1</f>
        <v>27</v>
      </c>
    </row>
    <row r="170" spans="1:20" x14ac:dyDescent="0.3">
      <c r="A170" s="24" t="s">
        <v>276</v>
      </c>
      <c r="B170" s="24" t="s">
        <v>45</v>
      </c>
      <c r="C170" s="24" t="s">
        <v>57</v>
      </c>
      <c r="D170" s="25">
        <v>13.9</v>
      </c>
      <c r="E170" s="24">
        <v>93</v>
      </c>
      <c r="F170" s="24" t="s">
        <v>62</v>
      </c>
      <c r="G170" s="24" t="s">
        <v>67</v>
      </c>
      <c r="H170" s="24" t="s">
        <v>67</v>
      </c>
      <c r="I170" s="24">
        <v>83</v>
      </c>
      <c r="J170" s="24">
        <v>70</v>
      </c>
      <c r="K170" s="24">
        <v>72</v>
      </c>
      <c r="L170" s="24">
        <v>90</v>
      </c>
      <c r="M170" s="24">
        <v>78</v>
      </c>
      <c r="N170" s="26">
        <f t="shared" si="2"/>
        <v>78.599999999999994</v>
      </c>
      <c r="O170" s="11" t="str">
        <f>LOOKUP(N170,Settings!$A$10:$A$14,Settings!$B$10:$B$14)</f>
        <v>B</v>
      </c>
      <c r="P170" s="11" t="str">
        <f>IF(N170&gt;=Settings!$B$3,"Pass","Fail")</f>
        <v>Pass</v>
      </c>
      <c r="Q170" s="11" t="str">
        <f>LOOKUP(D170,Settings!$A$19:$A$23,Settings!$B$19:$B$23)</f>
        <v>10 to 14 hrs</v>
      </c>
      <c r="R170" s="11" t="str">
        <f>LOOKUP(E170,Settings!$A$28:$A$31,Settings!$B$28:$B$31)</f>
        <v>85 to 94%</v>
      </c>
      <c r="S170" s="11" t="str">
        <f>IF(OR(N170&lt;Settings!$B$4,E170&lt;Settings!$B$5),"Yes","No")</f>
        <v>No</v>
      </c>
      <c r="T170" s="11">
        <f>RANK(N170,$N$2:$N$301,0)+COUNTIF($N$2:N170,N170)-1</f>
        <v>10</v>
      </c>
    </row>
    <row r="171" spans="1:20" x14ac:dyDescent="0.3">
      <c r="A171" s="24" t="s">
        <v>277</v>
      </c>
      <c r="B171" s="24" t="s">
        <v>46</v>
      </c>
      <c r="C171" s="24" t="s">
        <v>58</v>
      </c>
      <c r="D171" s="25">
        <v>17.399999999999999</v>
      </c>
      <c r="E171" s="24">
        <v>93</v>
      </c>
      <c r="F171" s="24" t="s">
        <v>63</v>
      </c>
      <c r="G171" s="24" t="s">
        <v>67</v>
      </c>
      <c r="H171" s="24" t="s">
        <v>67</v>
      </c>
      <c r="I171" s="24">
        <v>73</v>
      </c>
      <c r="J171" s="24">
        <v>88</v>
      </c>
      <c r="K171" s="24">
        <v>76</v>
      </c>
      <c r="L171" s="24">
        <v>80</v>
      </c>
      <c r="M171" s="24">
        <v>77</v>
      </c>
      <c r="N171" s="26">
        <f t="shared" si="2"/>
        <v>78.8</v>
      </c>
      <c r="O171" s="11" t="str">
        <f>LOOKUP(N171,Settings!$A$10:$A$14,Settings!$B$10:$B$14)</f>
        <v>B</v>
      </c>
      <c r="P171" s="11" t="str">
        <f>IF(N171&gt;=Settings!$B$3,"Pass","Fail")</f>
        <v>Pass</v>
      </c>
      <c r="Q171" s="11" t="str">
        <f>LOOKUP(D171,Settings!$A$19:$A$23,Settings!$B$19:$B$23)</f>
        <v>15 to 19 hrs</v>
      </c>
      <c r="R171" s="11" t="str">
        <f>LOOKUP(E171,Settings!$A$28:$A$31,Settings!$B$28:$B$31)</f>
        <v>85 to 94%</v>
      </c>
      <c r="S171" s="11" t="str">
        <f>IF(OR(N171&lt;Settings!$B$4,E171&lt;Settings!$B$5),"Yes","No")</f>
        <v>No</v>
      </c>
      <c r="T171" s="11">
        <f>RANK(N171,$N$2:$N$301,0)+COUNTIF($N$2:N171,N171)-1</f>
        <v>7</v>
      </c>
    </row>
    <row r="172" spans="1:20" x14ac:dyDescent="0.3">
      <c r="A172" s="24" t="s">
        <v>278</v>
      </c>
      <c r="B172" s="24" t="s">
        <v>45</v>
      </c>
      <c r="C172" s="24" t="s">
        <v>58</v>
      </c>
      <c r="D172" s="25">
        <v>5.9</v>
      </c>
      <c r="E172" s="24">
        <v>70</v>
      </c>
      <c r="F172" s="24" t="s">
        <v>62</v>
      </c>
      <c r="G172" s="24" t="s">
        <v>68</v>
      </c>
      <c r="H172" s="24" t="s">
        <v>67</v>
      </c>
      <c r="I172" s="24">
        <v>54</v>
      </c>
      <c r="J172" s="24">
        <v>45</v>
      </c>
      <c r="K172" s="24">
        <v>52</v>
      </c>
      <c r="L172" s="24">
        <v>40</v>
      </c>
      <c r="M172" s="24">
        <v>42</v>
      </c>
      <c r="N172" s="26">
        <f t="shared" si="2"/>
        <v>46.6</v>
      </c>
      <c r="O172" s="11" t="str">
        <f>LOOKUP(N172,Settings!$A$10:$A$14,Settings!$B$10:$B$14)</f>
        <v>F</v>
      </c>
      <c r="P172" s="11" t="str">
        <f>IF(N172&gt;=Settings!$B$3,"Pass","Fail")</f>
        <v>Fail</v>
      </c>
      <c r="Q172" s="11" t="str">
        <f>LOOKUP(D172,Settings!$A$19:$A$23,Settings!$B$19:$B$23)</f>
        <v>5 to 9 hrs</v>
      </c>
      <c r="R172" s="11" t="str">
        <f>LOOKUP(E172,Settings!$A$28:$A$31,Settings!$B$28:$B$31)</f>
        <v>Below 75%</v>
      </c>
      <c r="S172" s="11" t="str">
        <f>IF(OR(N172&lt;Settings!$B$4,E172&lt;Settings!$B$5),"Yes","No")</f>
        <v>Yes</v>
      </c>
      <c r="T172" s="11">
        <f>RANK(N172,$N$2:$N$301,0)+COUNTIF($N$2:N172,N172)-1</f>
        <v>282</v>
      </c>
    </row>
    <row r="173" spans="1:20" x14ac:dyDescent="0.3">
      <c r="A173" s="24" t="s">
        <v>279</v>
      </c>
      <c r="B173" s="24" t="s">
        <v>45</v>
      </c>
      <c r="C173" s="24" t="s">
        <v>58</v>
      </c>
      <c r="D173" s="25">
        <v>7.8</v>
      </c>
      <c r="E173" s="24">
        <v>82</v>
      </c>
      <c r="F173" s="24" t="s">
        <v>63</v>
      </c>
      <c r="G173" s="24" t="s">
        <v>67</v>
      </c>
      <c r="H173" s="24" t="s">
        <v>68</v>
      </c>
      <c r="I173" s="24">
        <v>53</v>
      </c>
      <c r="J173" s="24">
        <v>59</v>
      </c>
      <c r="K173" s="24">
        <v>46</v>
      </c>
      <c r="L173" s="24">
        <v>60</v>
      </c>
      <c r="M173" s="24">
        <v>54</v>
      </c>
      <c r="N173" s="26">
        <f t="shared" si="2"/>
        <v>54.4</v>
      </c>
      <c r="O173" s="11" t="str">
        <f>LOOKUP(N173,Settings!$A$10:$A$14,Settings!$B$10:$B$14)</f>
        <v>D</v>
      </c>
      <c r="P173" s="11" t="str">
        <f>IF(N173&gt;=Settings!$B$3,"Pass","Fail")</f>
        <v>Pass</v>
      </c>
      <c r="Q173" s="11" t="str">
        <f>LOOKUP(D173,Settings!$A$19:$A$23,Settings!$B$19:$B$23)</f>
        <v>5 to 9 hrs</v>
      </c>
      <c r="R173" s="11" t="str">
        <f>LOOKUP(E173,Settings!$A$28:$A$31,Settings!$B$28:$B$31)</f>
        <v>75 to 84%</v>
      </c>
      <c r="S173" s="11" t="str">
        <f>IF(OR(N173&lt;Settings!$B$4,E173&lt;Settings!$B$5),"Yes","No")</f>
        <v>Yes</v>
      </c>
      <c r="T173" s="11">
        <f>RANK(N173,$N$2:$N$301,0)+COUNTIF($N$2:N173,N173)-1</f>
        <v>231</v>
      </c>
    </row>
    <row r="174" spans="1:20" x14ac:dyDescent="0.3">
      <c r="A174" s="24" t="s">
        <v>280</v>
      </c>
      <c r="B174" s="24" t="s">
        <v>45</v>
      </c>
      <c r="C174" s="24" t="s">
        <v>57</v>
      </c>
      <c r="D174" s="25">
        <v>12.7</v>
      </c>
      <c r="E174" s="24">
        <v>79</v>
      </c>
      <c r="F174" s="24" t="s">
        <v>63</v>
      </c>
      <c r="G174" s="24" t="s">
        <v>67</v>
      </c>
      <c r="H174" s="24" t="s">
        <v>67</v>
      </c>
      <c r="I174" s="24">
        <v>56</v>
      </c>
      <c r="J174" s="24">
        <v>64</v>
      </c>
      <c r="K174" s="24">
        <v>56</v>
      </c>
      <c r="L174" s="24">
        <v>55</v>
      </c>
      <c r="M174" s="24">
        <v>72</v>
      </c>
      <c r="N174" s="26">
        <f t="shared" si="2"/>
        <v>60.6</v>
      </c>
      <c r="O174" s="11" t="str">
        <f>LOOKUP(N174,Settings!$A$10:$A$14,Settings!$B$10:$B$14)</f>
        <v>C</v>
      </c>
      <c r="P174" s="11" t="str">
        <f>IF(N174&gt;=Settings!$B$3,"Pass","Fail")</f>
        <v>Pass</v>
      </c>
      <c r="Q174" s="11" t="str">
        <f>LOOKUP(D174,Settings!$A$19:$A$23,Settings!$B$19:$B$23)</f>
        <v>10 to 14 hrs</v>
      </c>
      <c r="R174" s="11" t="str">
        <f>LOOKUP(E174,Settings!$A$28:$A$31,Settings!$B$28:$B$31)</f>
        <v>75 to 84%</v>
      </c>
      <c r="S174" s="11" t="str">
        <f>IF(OR(N174&lt;Settings!$B$4,E174&lt;Settings!$B$5),"Yes","No")</f>
        <v>No</v>
      </c>
      <c r="T174" s="11">
        <f>RANK(N174,$N$2:$N$301,0)+COUNTIF($N$2:N174,N174)-1</f>
        <v>170</v>
      </c>
    </row>
    <row r="175" spans="1:20" x14ac:dyDescent="0.3">
      <c r="A175" s="24" t="s">
        <v>281</v>
      </c>
      <c r="B175" s="24" t="s">
        <v>46</v>
      </c>
      <c r="C175" s="24" t="s">
        <v>57</v>
      </c>
      <c r="D175" s="25">
        <v>11.9</v>
      </c>
      <c r="E175" s="24">
        <v>96</v>
      </c>
      <c r="F175" s="24" t="s">
        <v>64</v>
      </c>
      <c r="G175" s="24" t="s">
        <v>68</v>
      </c>
      <c r="H175" s="24" t="s">
        <v>68</v>
      </c>
      <c r="I175" s="24">
        <v>76</v>
      </c>
      <c r="J175" s="24">
        <v>66</v>
      </c>
      <c r="K175" s="24">
        <v>70</v>
      </c>
      <c r="L175" s="24">
        <v>75</v>
      </c>
      <c r="M175" s="24">
        <v>72</v>
      </c>
      <c r="N175" s="26">
        <f t="shared" si="2"/>
        <v>71.8</v>
      </c>
      <c r="O175" s="11" t="str">
        <f>LOOKUP(N175,Settings!$A$10:$A$14,Settings!$B$10:$B$14)</f>
        <v>B</v>
      </c>
      <c r="P175" s="11" t="str">
        <f>IF(N175&gt;=Settings!$B$3,"Pass","Fail")</f>
        <v>Pass</v>
      </c>
      <c r="Q175" s="11" t="str">
        <f>LOOKUP(D175,Settings!$A$19:$A$23,Settings!$B$19:$B$23)</f>
        <v>10 to 14 hrs</v>
      </c>
      <c r="R175" s="11" t="str">
        <f>LOOKUP(E175,Settings!$A$28:$A$31,Settings!$B$28:$B$31)</f>
        <v>95 to 100%</v>
      </c>
      <c r="S175" s="11" t="str">
        <f>IF(OR(N175&lt;Settings!$B$4,E175&lt;Settings!$B$5),"Yes","No")</f>
        <v>No</v>
      </c>
      <c r="T175" s="11">
        <f>RANK(N175,$N$2:$N$301,0)+COUNTIF($N$2:N175,N175)-1</f>
        <v>39</v>
      </c>
    </row>
    <row r="176" spans="1:20" x14ac:dyDescent="0.3">
      <c r="A176" s="24" t="s">
        <v>282</v>
      </c>
      <c r="B176" s="24" t="s">
        <v>45</v>
      </c>
      <c r="C176" s="24" t="s">
        <v>57</v>
      </c>
      <c r="D176" s="25">
        <v>13.4</v>
      </c>
      <c r="E176" s="24">
        <v>76</v>
      </c>
      <c r="F176" s="24" t="s">
        <v>62</v>
      </c>
      <c r="G176" s="24" t="s">
        <v>68</v>
      </c>
      <c r="H176" s="24" t="s">
        <v>68</v>
      </c>
      <c r="I176" s="24">
        <v>50</v>
      </c>
      <c r="J176" s="24">
        <v>57</v>
      </c>
      <c r="K176" s="24">
        <v>48</v>
      </c>
      <c r="L176" s="24">
        <v>45</v>
      </c>
      <c r="M176" s="24">
        <v>51</v>
      </c>
      <c r="N176" s="26">
        <f t="shared" si="2"/>
        <v>50.2</v>
      </c>
      <c r="O176" s="11" t="str">
        <f>LOOKUP(N176,Settings!$A$10:$A$14,Settings!$B$10:$B$14)</f>
        <v>D</v>
      </c>
      <c r="P176" s="11" t="str">
        <f>IF(N176&gt;=Settings!$B$3,"Pass","Fail")</f>
        <v>Pass</v>
      </c>
      <c r="Q176" s="11" t="str">
        <f>LOOKUP(D176,Settings!$A$19:$A$23,Settings!$B$19:$B$23)</f>
        <v>10 to 14 hrs</v>
      </c>
      <c r="R176" s="11" t="str">
        <f>LOOKUP(E176,Settings!$A$28:$A$31,Settings!$B$28:$B$31)</f>
        <v>75 to 84%</v>
      </c>
      <c r="S176" s="11" t="str">
        <f>IF(OR(N176&lt;Settings!$B$4,E176&lt;Settings!$B$5),"Yes","No")</f>
        <v>Yes</v>
      </c>
      <c r="T176" s="11">
        <f>RANK(N176,$N$2:$N$301,0)+COUNTIF($N$2:N176,N176)-1</f>
        <v>266</v>
      </c>
    </row>
    <row r="177" spans="1:20" x14ac:dyDescent="0.3">
      <c r="A177" s="24" t="s">
        <v>283</v>
      </c>
      <c r="B177" s="24" t="s">
        <v>45</v>
      </c>
      <c r="C177" s="24" t="s">
        <v>57</v>
      </c>
      <c r="D177" s="25">
        <v>17.399999999999999</v>
      </c>
      <c r="E177" s="24">
        <v>100</v>
      </c>
      <c r="F177" s="24" t="s">
        <v>64</v>
      </c>
      <c r="G177" s="24" t="s">
        <v>67</v>
      </c>
      <c r="H177" s="24" t="s">
        <v>67</v>
      </c>
      <c r="I177" s="24">
        <v>78</v>
      </c>
      <c r="J177" s="24">
        <v>75</v>
      </c>
      <c r="K177" s="24">
        <v>66</v>
      </c>
      <c r="L177" s="24">
        <v>78</v>
      </c>
      <c r="M177" s="24">
        <v>70</v>
      </c>
      <c r="N177" s="26">
        <f t="shared" si="2"/>
        <v>73.400000000000006</v>
      </c>
      <c r="O177" s="11" t="str">
        <f>LOOKUP(N177,Settings!$A$10:$A$14,Settings!$B$10:$B$14)</f>
        <v>B</v>
      </c>
      <c r="P177" s="11" t="str">
        <f>IF(N177&gt;=Settings!$B$3,"Pass","Fail")</f>
        <v>Pass</v>
      </c>
      <c r="Q177" s="11" t="str">
        <f>LOOKUP(D177,Settings!$A$19:$A$23,Settings!$B$19:$B$23)</f>
        <v>15 to 19 hrs</v>
      </c>
      <c r="R177" s="11" t="str">
        <f>LOOKUP(E177,Settings!$A$28:$A$31,Settings!$B$28:$B$31)</f>
        <v>95 to 100%</v>
      </c>
      <c r="S177" s="11" t="str">
        <f>IF(OR(N177&lt;Settings!$B$4,E177&lt;Settings!$B$5),"Yes","No")</f>
        <v>No</v>
      </c>
      <c r="T177" s="11">
        <f>RANK(N177,$N$2:$N$301,0)+COUNTIF($N$2:N177,N177)-1</f>
        <v>30</v>
      </c>
    </row>
    <row r="178" spans="1:20" x14ac:dyDescent="0.3">
      <c r="A178" s="24" t="s">
        <v>284</v>
      </c>
      <c r="B178" s="24" t="s">
        <v>45</v>
      </c>
      <c r="C178" s="24" t="s">
        <v>58</v>
      </c>
      <c r="D178" s="25">
        <v>3.2</v>
      </c>
      <c r="E178" s="24">
        <v>83</v>
      </c>
      <c r="F178" s="24" t="s">
        <v>63</v>
      </c>
      <c r="G178" s="24" t="s">
        <v>67</v>
      </c>
      <c r="H178" s="24" t="s">
        <v>68</v>
      </c>
      <c r="I178" s="24">
        <v>44</v>
      </c>
      <c r="J178" s="24">
        <v>56</v>
      </c>
      <c r="K178" s="24">
        <v>57</v>
      </c>
      <c r="L178" s="24">
        <v>48</v>
      </c>
      <c r="M178" s="24">
        <v>47</v>
      </c>
      <c r="N178" s="26">
        <f t="shared" si="2"/>
        <v>50.4</v>
      </c>
      <c r="O178" s="11" t="str">
        <f>LOOKUP(N178,Settings!$A$10:$A$14,Settings!$B$10:$B$14)</f>
        <v>D</v>
      </c>
      <c r="P178" s="11" t="str">
        <f>IF(N178&gt;=Settings!$B$3,"Pass","Fail")</f>
        <v>Pass</v>
      </c>
      <c r="Q178" s="11" t="str">
        <f>LOOKUP(D178,Settings!$A$19:$A$23,Settings!$B$19:$B$23)</f>
        <v>0 to 4 hrs</v>
      </c>
      <c r="R178" s="11" t="str">
        <f>LOOKUP(E178,Settings!$A$28:$A$31,Settings!$B$28:$B$31)</f>
        <v>75 to 84%</v>
      </c>
      <c r="S178" s="11" t="str">
        <f>IF(OR(N178&lt;Settings!$B$4,E178&lt;Settings!$B$5),"Yes","No")</f>
        <v>Yes</v>
      </c>
      <c r="T178" s="11">
        <f>RANK(N178,$N$2:$N$301,0)+COUNTIF($N$2:N178,N178)-1</f>
        <v>263</v>
      </c>
    </row>
    <row r="179" spans="1:20" x14ac:dyDescent="0.3">
      <c r="A179" s="24" t="s">
        <v>285</v>
      </c>
      <c r="B179" s="24" t="s">
        <v>46</v>
      </c>
      <c r="C179" s="24" t="s">
        <v>58</v>
      </c>
      <c r="D179" s="25">
        <v>16.899999999999999</v>
      </c>
      <c r="E179" s="24">
        <v>78</v>
      </c>
      <c r="F179" s="24" t="s">
        <v>62</v>
      </c>
      <c r="G179" s="24" t="s">
        <v>67</v>
      </c>
      <c r="H179" s="24" t="s">
        <v>68</v>
      </c>
      <c r="I179" s="24">
        <v>56</v>
      </c>
      <c r="J179" s="24">
        <v>64</v>
      </c>
      <c r="K179" s="24">
        <v>70</v>
      </c>
      <c r="L179" s="24">
        <v>65</v>
      </c>
      <c r="M179" s="24">
        <v>75</v>
      </c>
      <c r="N179" s="26">
        <f t="shared" si="2"/>
        <v>66</v>
      </c>
      <c r="O179" s="11" t="str">
        <f>LOOKUP(N179,Settings!$A$10:$A$14,Settings!$B$10:$B$14)</f>
        <v>C</v>
      </c>
      <c r="P179" s="11" t="str">
        <f>IF(N179&gt;=Settings!$B$3,"Pass","Fail")</f>
        <v>Pass</v>
      </c>
      <c r="Q179" s="11" t="str">
        <f>LOOKUP(D179,Settings!$A$19:$A$23,Settings!$B$19:$B$23)</f>
        <v>15 to 19 hrs</v>
      </c>
      <c r="R179" s="11" t="str">
        <f>LOOKUP(E179,Settings!$A$28:$A$31,Settings!$B$28:$B$31)</f>
        <v>75 to 84%</v>
      </c>
      <c r="S179" s="11" t="str">
        <f>IF(OR(N179&lt;Settings!$B$4,E179&lt;Settings!$B$5),"Yes","No")</f>
        <v>No</v>
      </c>
      <c r="T179" s="11">
        <f>RANK(N179,$N$2:$N$301,0)+COUNTIF($N$2:N179,N179)-1</f>
        <v>102</v>
      </c>
    </row>
    <row r="180" spans="1:20" x14ac:dyDescent="0.3">
      <c r="A180" s="24" t="s">
        <v>286</v>
      </c>
      <c r="B180" s="24" t="s">
        <v>46</v>
      </c>
      <c r="C180" s="24" t="s">
        <v>58</v>
      </c>
      <c r="D180" s="25">
        <v>12</v>
      </c>
      <c r="E180" s="24">
        <v>81</v>
      </c>
      <c r="F180" s="24" t="s">
        <v>64</v>
      </c>
      <c r="G180" s="24" t="s">
        <v>67</v>
      </c>
      <c r="H180" s="24" t="s">
        <v>68</v>
      </c>
      <c r="I180" s="24">
        <v>65</v>
      </c>
      <c r="J180" s="24">
        <v>65</v>
      </c>
      <c r="K180" s="24">
        <v>63</v>
      </c>
      <c r="L180" s="24">
        <v>58</v>
      </c>
      <c r="M180" s="24">
        <v>57</v>
      </c>
      <c r="N180" s="26">
        <f t="shared" si="2"/>
        <v>61.6</v>
      </c>
      <c r="O180" s="11" t="str">
        <f>LOOKUP(N180,Settings!$A$10:$A$14,Settings!$B$10:$B$14)</f>
        <v>C</v>
      </c>
      <c r="P180" s="11" t="str">
        <f>IF(N180&gt;=Settings!$B$3,"Pass","Fail")</f>
        <v>Pass</v>
      </c>
      <c r="Q180" s="11" t="str">
        <f>LOOKUP(D180,Settings!$A$19:$A$23,Settings!$B$19:$B$23)</f>
        <v>10 to 14 hrs</v>
      </c>
      <c r="R180" s="11" t="str">
        <f>LOOKUP(E180,Settings!$A$28:$A$31,Settings!$B$28:$B$31)</f>
        <v>75 to 84%</v>
      </c>
      <c r="S180" s="11" t="str">
        <f>IF(OR(N180&lt;Settings!$B$4,E180&lt;Settings!$B$5),"Yes","No")</f>
        <v>No</v>
      </c>
      <c r="T180" s="11">
        <f>RANK(N180,$N$2:$N$301,0)+COUNTIF($N$2:N180,N180)-1</f>
        <v>161</v>
      </c>
    </row>
    <row r="181" spans="1:20" x14ac:dyDescent="0.3">
      <c r="A181" s="24" t="s">
        <v>287</v>
      </c>
      <c r="B181" s="24" t="s">
        <v>46</v>
      </c>
      <c r="C181" s="24" t="s">
        <v>58</v>
      </c>
      <c r="D181" s="25">
        <v>11</v>
      </c>
      <c r="E181" s="24">
        <v>79</v>
      </c>
      <c r="F181" s="24" t="s">
        <v>64</v>
      </c>
      <c r="G181" s="24" t="s">
        <v>67</v>
      </c>
      <c r="H181" s="24" t="s">
        <v>67</v>
      </c>
      <c r="I181" s="24">
        <v>67</v>
      </c>
      <c r="J181" s="24">
        <v>61</v>
      </c>
      <c r="K181" s="24">
        <v>73</v>
      </c>
      <c r="L181" s="24">
        <v>74</v>
      </c>
      <c r="M181" s="24">
        <v>60</v>
      </c>
      <c r="N181" s="26">
        <f t="shared" si="2"/>
        <v>67</v>
      </c>
      <c r="O181" s="11" t="str">
        <f>LOOKUP(N181,Settings!$A$10:$A$14,Settings!$B$10:$B$14)</f>
        <v>C</v>
      </c>
      <c r="P181" s="11" t="str">
        <f>IF(N181&gt;=Settings!$B$3,"Pass","Fail")</f>
        <v>Pass</v>
      </c>
      <c r="Q181" s="11" t="str">
        <f>LOOKUP(D181,Settings!$A$19:$A$23,Settings!$B$19:$B$23)</f>
        <v>10 to 14 hrs</v>
      </c>
      <c r="R181" s="11" t="str">
        <f>LOOKUP(E181,Settings!$A$28:$A$31,Settings!$B$28:$B$31)</f>
        <v>75 to 84%</v>
      </c>
      <c r="S181" s="11" t="str">
        <f>IF(OR(N181&lt;Settings!$B$4,E181&lt;Settings!$B$5),"Yes","No")</f>
        <v>No</v>
      </c>
      <c r="T181" s="11">
        <f>RANK(N181,$N$2:$N$301,0)+COUNTIF($N$2:N181,N181)-1</f>
        <v>94</v>
      </c>
    </row>
    <row r="182" spans="1:20" x14ac:dyDescent="0.3">
      <c r="A182" s="24" t="s">
        <v>288</v>
      </c>
      <c r="B182" s="24" t="s">
        <v>46</v>
      </c>
      <c r="C182" s="24" t="s">
        <v>58</v>
      </c>
      <c r="D182" s="25">
        <v>4.5999999999999996</v>
      </c>
      <c r="E182" s="24">
        <v>74</v>
      </c>
      <c r="F182" s="24" t="s">
        <v>62</v>
      </c>
      <c r="G182" s="24" t="s">
        <v>67</v>
      </c>
      <c r="H182" s="24" t="s">
        <v>67</v>
      </c>
      <c r="I182" s="24">
        <v>59</v>
      </c>
      <c r="J182" s="24">
        <v>52</v>
      </c>
      <c r="K182" s="24">
        <v>53</v>
      </c>
      <c r="L182" s="24">
        <v>67</v>
      </c>
      <c r="M182" s="24">
        <v>46</v>
      </c>
      <c r="N182" s="26">
        <f t="shared" si="2"/>
        <v>55.4</v>
      </c>
      <c r="O182" s="11" t="str">
        <f>LOOKUP(N182,Settings!$A$10:$A$14,Settings!$B$10:$B$14)</f>
        <v>D</v>
      </c>
      <c r="P182" s="11" t="str">
        <f>IF(N182&gt;=Settings!$B$3,"Pass","Fail")</f>
        <v>Pass</v>
      </c>
      <c r="Q182" s="11" t="str">
        <f>LOOKUP(D182,Settings!$A$19:$A$23,Settings!$B$19:$B$23)</f>
        <v>0 to 4 hrs</v>
      </c>
      <c r="R182" s="11" t="str">
        <f>LOOKUP(E182,Settings!$A$28:$A$31,Settings!$B$28:$B$31)</f>
        <v>Below 75%</v>
      </c>
      <c r="S182" s="11" t="str">
        <f>IF(OR(N182&lt;Settings!$B$4,E182&lt;Settings!$B$5),"Yes","No")</f>
        <v>Yes</v>
      </c>
      <c r="T182" s="11">
        <f>RANK(N182,$N$2:$N$301,0)+COUNTIF($N$2:N182,N182)-1</f>
        <v>223</v>
      </c>
    </row>
    <row r="183" spans="1:20" x14ac:dyDescent="0.3">
      <c r="A183" s="24" t="s">
        <v>289</v>
      </c>
      <c r="B183" s="24" t="s">
        <v>46</v>
      </c>
      <c r="C183" s="24" t="s">
        <v>57</v>
      </c>
      <c r="D183" s="25">
        <v>14.5</v>
      </c>
      <c r="E183" s="24">
        <v>88</v>
      </c>
      <c r="F183" s="24" t="s">
        <v>64</v>
      </c>
      <c r="G183" s="24" t="s">
        <v>68</v>
      </c>
      <c r="H183" s="24" t="s">
        <v>67</v>
      </c>
      <c r="I183" s="24">
        <v>68</v>
      </c>
      <c r="J183" s="24">
        <v>69</v>
      </c>
      <c r="K183" s="24">
        <v>82</v>
      </c>
      <c r="L183" s="24">
        <v>64</v>
      </c>
      <c r="M183" s="24">
        <v>59</v>
      </c>
      <c r="N183" s="26">
        <f t="shared" si="2"/>
        <v>68.400000000000006</v>
      </c>
      <c r="O183" s="11" t="str">
        <f>LOOKUP(N183,Settings!$A$10:$A$14,Settings!$B$10:$B$14)</f>
        <v>C</v>
      </c>
      <c r="P183" s="11" t="str">
        <f>IF(N183&gt;=Settings!$B$3,"Pass","Fail")</f>
        <v>Pass</v>
      </c>
      <c r="Q183" s="11" t="str">
        <f>LOOKUP(D183,Settings!$A$19:$A$23,Settings!$B$19:$B$23)</f>
        <v>10 to 14 hrs</v>
      </c>
      <c r="R183" s="11" t="str">
        <f>LOOKUP(E183,Settings!$A$28:$A$31,Settings!$B$28:$B$31)</f>
        <v>85 to 94%</v>
      </c>
      <c r="S183" s="11" t="str">
        <f>IF(OR(N183&lt;Settings!$B$4,E183&lt;Settings!$B$5),"Yes","No")</f>
        <v>No</v>
      </c>
      <c r="T183" s="11">
        <f>RANK(N183,$N$2:$N$301,0)+COUNTIF($N$2:N183,N183)-1</f>
        <v>72</v>
      </c>
    </row>
    <row r="184" spans="1:20" x14ac:dyDescent="0.3">
      <c r="A184" s="24" t="s">
        <v>290</v>
      </c>
      <c r="B184" s="24" t="s">
        <v>45</v>
      </c>
      <c r="C184" s="24" t="s">
        <v>58</v>
      </c>
      <c r="D184" s="25">
        <v>1</v>
      </c>
      <c r="E184" s="24">
        <v>73</v>
      </c>
      <c r="F184" s="24" t="s">
        <v>63</v>
      </c>
      <c r="G184" s="24" t="s">
        <v>68</v>
      </c>
      <c r="H184" s="24" t="s">
        <v>68</v>
      </c>
      <c r="I184" s="24">
        <v>31</v>
      </c>
      <c r="J184" s="24">
        <v>40</v>
      </c>
      <c r="K184" s="24">
        <v>32</v>
      </c>
      <c r="L184" s="24">
        <v>36</v>
      </c>
      <c r="M184" s="24">
        <v>22</v>
      </c>
      <c r="N184" s="26">
        <f t="shared" si="2"/>
        <v>32.200000000000003</v>
      </c>
      <c r="O184" s="11" t="str">
        <f>LOOKUP(N184,Settings!$A$10:$A$14,Settings!$B$10:$B$14)</f>
        <v>F</v>
      </c>
      <c r="P184" s="11" t="str">
        <f>IF(N184&gt;=Settings!$B$3,"Pass","Fail")</f>
        <v>Fail</v>
      </c>
      <c r="Q184" s="11" t="str">
        <f>LOOKUP(D184,Settings!$A$19:$A$23,Settings!$B$19:$B$23)</f>
        <v>0 to 4 hrs</v>
      </c>
      <c r="R184" s="11" t="str">
        <f>LOOKUP(E184,Settings!$A$28:$A$31,Settings!$B$28:$B$31)</f>
        <v>Below 75%</v>
      </c>
      <c r="S184" s="11" t="str">
        <f>IF(OR(N184&lt;Settings!$B$4,E184&lt;Settings!$B$5),"Yes","No")</f>
        <v>Yes</v>
      </c>
      <c r="T184" s="11">
        <f>RANK(N184,$N$2:$N$301,0)+COUNTIF($N$2:N184,N184)-1</f>
        <v>300</v>
      </c>
    </row>
    <row r="185" spans="1:20" x14ac:dyDescent="0.3">
      <c r="A185" s="24" t="s">
        <v>291</v>
      </c>
      <c r="B185" s="24" t="s">
        <v>45</v>
      </c>
      <c r="C185" s="24" t="s">
        <v>57</v>
      </c>
      <c r="D185" s="25">
        <v>15.2</v>
      </c>
      <c r="E185" s="24">
        <v>70</v>
      </c>
      <c r="F185" s="24" t="s">
        <v>63</v>
      </c>
      <c r="G185" s="24" t="s">
        <v>68</v>
      </c>
      <c r="H185" s="24" t="s">
        <v>68</v>
      </c>
      <c r="I185" s="24">
        <v>67</v>
      </c>
      <c r="J185" s="24">
        <v>70</v>
      </c>
      <c r="K185" s="24">
        <v>64</v>
      </c>
      <c r="L185" s="24">
        <v>63</v>
      </c>
      <c r="M185" s="24">
        <v>66</v>
      </c>
      <c r="N185" s="26">
        <f t="shared" si="2"/>
        <v>66</v>
      </c>
      <c r="O185" s="11" t="str">
        <f>LOOKUP(N185,Settings!$A$10:$A$14,Settings!$B$10:$B$14)</f>
        <v>C</v>
      </c>
      <c r="P185" s="11" t="str">
        <f>IF(N185&gt;=Settings!$B$3,"Pass","Fail")</f>
        <v>Pass</v>
      </c>
      <c r="Q185" s="11" t="str">
        <f>LOOKUP(D185,Settings!$A$19:$A$23,Settings!$B$19:$B$23)</f>
        <v>15 to 19 hrs</v>
      </c>
      <c r="R185" s="11" t="str">
        <f>LOOKUP(E185,Settings!$A$28:$A$31,Settings!$B$28:$B$31)</f>
        <v>Below 75%</v>
      </c>
      <c r="S185" s="11" t="str">
        <f>IF(OR(N185&lt;Settings!$B$4,E185&lt;Settings!$B$5),"Yes","No")</f>
        <v>Yes</v>
      </c>
      <c r="T185" s="11">
        <f>RANK(N185,$N$2:$N$301,0)+COUNTIF($N$2:N185,N185)-1</f>
        <v>103</v>
      </c>
    </row>
    <row r="186" spans="1:20" x14ac:dyDescent="0.3">
      <c r="A186" s="24" t="s">
        <v>292</v>
      </c>
      <c r="B186" s="24" t="s">
        <v>46</v>
      </c>
      <c r="C186" s="24" t="s">
        <v>57</v>
      </c>
      <c r="D186" s="25">
        <v>4.5</v>
      </c>
      <c r="E186" s="24">
        <v>81</v>
      </c>
      <c r="F186" s="24" t="s">
        <v>64</v>
      </c>
      <c r="G186" s="24" t="s">
        <v>68</v>
      </c>
      <c r="H186" s="24" t="s">
        <v>68</v>
      </c>
      <c r="I186" s="24">
        <v>55</v>
      </c>
      <c r="J186" s="24">
        <v>48</v>
      </c>
      <c r="K186" s="24">
        <v>51</v>
      </c>
      <c r="L186" s="24">
        <v>61</v>
      </c>
      <c r="M186" s="24">
        <v>71</v>
      </c>
      <c r="N186" s="26">
        <f t="shared" si="2"/>
        <v>57.2</v>
      </c>
      <c r="O186" s="11" t="str">
        <f>LOOKUP(N186,Settings!$A$10:$A$14,Settings!$B$10:$B$14)</f>
        <v>D</v>
      </c>
      <c r="P186" s="11" t="str">
        <f>IF(N186&gt;=Settings!$B$3,"Pass","Fail")</f>
        <v>Pass</v>
      </c>
      <c r="Q186" s="11" t="str">
        <f>LOOKUP(D186,Settings!$A$19:$A$23,Settings!$B$19:$B$23)</f>
        <v>0 to 4 hrs</v>
      </c>
      <c r="R186" s="11" t="str">
        <f>LOOKUP(E186,Settings!$A$28:$A$31,Settings!$B$28:$B$31)</f>
        <v>75 to 84%</v>
      </c>
      <c r="S186" s="11" t="str">
        <f>IF(OR(N186&lt;Settings!$B$4,E186&lt;Settings!$B$5),"Yes","No")</f>
        <v>No</v>
      </c>
      <c r="T186" s="11">
        <f>RANK(N186,$N$2:$N$301,0)+COUNTIF($N$2:N186,N186)-1</f>
        <v>200</v>
      </c>
    </row>
    <row r="187" spans="1:20" x14ac:dyDescent="0.3">
      <c r="A187" s="24" t="s">
        <v>293</v>
      </c>
      <c r="B187" s="24" t="s">
        <v>46</v>
      </c>
      <c r="C187" s="24" t="s">
        <v>58</v>
      </c>
      <c r="D187" s="25">
        <v>12.3</v>
      </c>
      <c r="E187" s="24">
        <v>72</v>
      </c>
      <c r="F187" s="24" t="s">
        <v>63</v>
      </c>
      <c r="G187" s="24" t="s">
        <v>68</v>
      </c>
      <c r="H187" s="24" t="s">
        <v>67</v>
      </c>
      <c r="I187" s="24">
        <v>53</v>
      </c>
      <c r="J187" s="24">
        <v>46</v>
      </c>
      <c r="K187" s="24">
        <v>56</v>
      </c>
      <c r="L187" s="24">
        <v>52</v>
      </c>
      <c r="M187" s="24">
        <v>52</v>
      </c>
      <c r="N187" s="26">
        <f t="shared" si="2"/>
        <v>51.8</v>
      </c>
      <c r="O187" s="11" t="str">
        <f>LOOKUP(N187,Settings!$A$10:$A$14,Settings!$B$10:$B$14)</f>
        <v>D</v>
      </c>
      <c r="P187" s="11" t="str">
        <f>IF(N187&gt;=Settings!$B$3,"Pass","Fail")</f>
        <v>Pass</v>
      </c>
      <c r="Q187" s="11" t="str">
        <f>LOOKUP(D187,Settings!$A$19:$A$23,Settings!$B$19:$B$23)</f>
        <v>10 to 14 hrs</v>
      </c>
      <c r="R187" s="11" t="str">
        <f>LOOKUP(E187,Settings!$A$28:$A$31,Settings!$B$28:$B$31)</f>
        <v>Below 75%</v>
      </c>
      <c r="S187" s="11" t="str">
        <f>IF(OR(N187&lt;Settings!$B$4,E187&lt;Settings!$B$5),"Yes","No")</f>
        <v>Yes</v>
      </c>
      <c r="T187" s="11">
        <f>RANK(N187,$N$2:$N$301,0)+COUNTIF($N$2:N187,N187)-1</f>
        <v>249</v>
      </c>
    </row>
    <row r="188" spans="1:20" x14ac:dyDescent="0.3">
      <c r="A188" s="24" t="s">
        <v>294</v>
      </c>
      <c r="B188" s="24" t="s">
        <v>45</v>
      </c>
      <c r="C188" s="24" t="s">
        <v>58</v>
      </c>
      <c r="D188" s="25">
        <v>11.4</v>
      </c>
      <c r="E188" s="24">
        <v>80</v>
      </c>
      <c r="F188" s="24" t="s">
        <v>64</v>
      </c>
      <c r="G188" s="24" t="s">
        <v>68</v>
      </c>
      <c r="H188" s="24" t="s">
        <v>68</v>
      </c>
      <c r="I188" s="24">
        <v>49</v>
      </c>
      <c r="J188" s="24">
        <v>51</v>
      </c>
      <c r="K188" s="24">
        <v>57</v>
      </c>
      <c r="L188" s="24">
        <v>51</v>
      </c>
      <c r="M188" s="24">
        <v>41</v>
      </c>
      <c r="N188" s="26">
        <f t="shared" si="2"/>
        <v>49.8</v>
      </c>
      <c r="O188" s="11" t="str">
        <f>LOOKUP(N188,Settings!$A$10:$A$14,Settings!$B$10:$B$14)</f>
        <v>F</v>
      </c>
      <c r="P188" s="11" t="str">
        <f>IF(N188&gt;=Settings!$B$3,"Pass","Fail")</f>
        <v>Fail</v>
      </c>
      <c r="Q188" s="11" t="str">
        <f>LOOKUP(D188,Settings!$A$19:$A$23,Settings!$B$19:$B$23)</f>
        <v>10 to 14 hrs</v>
      </c>
      <c r="R188" s="11" t="str">
        <f>LOOKUP(E188,Settings!$A$28:$A$31,Settings!$B$28:$B$31)</f>
        <v>75 to 84%</v>
      </c>
      <c r="S188" s="11" t="str">
        <f>IF(OR(N188&lt;Settings!$B$4,E188&lt;Settings!$B$5),"Yes","No")</f>
        <v>Yes</v>
      </c>
      <c r="T188" s="11">
        <f>RANK(N188,$N$2:$N$301,0)+COUNTIF($N$2:N188,N188)-1</f>
        <v>268</v>
      </c>
    </row>
    <row r="189" spans="1:20" x14ac:dyDescent="0.3">
      <c r="A189" s="24" t="s">
        <v>295</v>
      </c>
      <c r="B189" s="24" t="s">
        <v>45</v>
      </c>
      <c r="C189" s="24" t="s">
        <v>57</v>
      </c>
      <c r="D189" s="25">
        <v>17.8</v>
      </c>
      <c r="E189" s="24">
        <v>80</v>
      </c>
      <c r="F189" s="24" t="s">
        <v>63</v>
      </c>
      <c r="G189" s="24" t="s">
        <v>68</v>
      </c>
      <c r="H189" s="24" t="s">
        <v>67</v>
      </c>
      <c r="I189" s="24">
        <v>74</v>
      </c>
      <c r="J189" s="24">
        <v>61</v>
      </c>
      <c r="K189" s="24">
        <v>61</v>
      </c>
      <c r="L189" s="24">
        <v>70</v>
      </c>
      <c r="M189" s="24">
        <v>66</v>
      </c>
      <c r="N189" s="26">
        <f t="shared" si="2"/>
        <v>66.400000000000006</v>
      </c>
      <c r="O189" s="11" t="str">
        <f>LOOKUP(N189,Settings!$A$10:$A$14,Settings!$B$10:$B$14)</f>
        <v>C</v>
      </c>
      <c r="P189" s="11" t="str">
        <f>IF(N189&gt;=Settings!$B$3,"Pass","Fail")</f>
        <v>Pass</v>
      </c>
      <c r="Q189" s="11" t="str">
        <f>LOOKUP(D189,Settings!$A$19:$A$23,Settings!$B$19:$B$23)</f>
        <v>15 to 19 hrs</v>
      </c>
      <c r="R189" s="11" t="str">
        <f>LOOKUP(E189,Settings!$A$28:$A$31,Settings!$B$28:$B$31)</f>
        <v>75 to 84%</v>
      </c>
      <c r="S189" s="11" t="str">
        <f>IF(OR(N189&lt;Settings!$B$4,E189&lt;Settings!$B$5),"Yes","No")</f>
        <v>No</v>
      </c>
      <c r="T189" s="11">
        <f>RANK(N189,$N$2:$N$301,0)+COUNTIF($N$2:N189,N189)-1</f>
        <v>99</v>
      </c>
    </row>
    <row r="190" spans="1:20" x14ac:dyDescent="0.3">
      <c r="A190" s="24" t="s">
        <v>296</v>
      </c>
      <c r="B190" s="24" t="s">
        <v>46</v>
      </c>
      <c r="C190" s="24" t="s">
        <v>58</v>
      </c>
      <c r="D190" s="25">
        <v>11.1</v>
      </c>
      <c r="E190" s="24">
        <v>79</v>
      </c>
      <c r="F190" s="24" t="s">
        <v>64</v>
      </c>
      <c r="G190" s="24" t="s">
        <v>67</v>
      </c>
      <c r="H190" s="24" t="s">
        <v>68</v>
      </c>
      <c r="I190" s="24">
        <v>54</v>
      </c>
      <c r="J190" s="24">
        <v>65</v>
      </c>
      <c r="K190" s="24">
        <v>73</v>
      </c>
      <c r="L190" s="24">
        <v>59</v>
      </c>
      <c r="M190" s="24">
        <v>59</v>
      </c>
      <c r="N190" s="26">
        <f t="shared" si="2"/>
        <v>62</v>
      </c>
      <c r="O190" s="11" t="str">
        <f>LOOKUP(N190,Settings!$A$10:$A$14,Settings!$B$10:$B$14)</f>
        <v>C</v>
      </c>
      <c r="P190" s="11" t="str">
        <f>IF(N190&gt;=Settings!$B$3,"Pass","Fail")</f>
        <v>Pass</v>
      </c>
      <c r="Q190" s="11" t="str">
        <f>LOOKUP(D190,Settings!$A$19:$A$23,Settings!$B$19:$B$23)</f>
        <v>10 to 14 hrs</v>
      </c>
      <c r="R190" s="11" t="str">
        <f>LOOKUP(E190,Settings!$A$28:$A$31,Settings!$B$28:$B$31)</f>
        <v>75 to 84%</v>
      </c>
      <c r="S190" s="11" t="str">
        <f>IF(OR(N190&lt;Settings!$B$4,E190&lt;Settings!$B$5),"Yes","No")</f>
        <v>No</v>
      </c>
      <c r="T190" s="11">
        <f>RANK(N190,$N$2:$N$301,0)+COUNTIF($N$2:N190,N190)-1</f>
        <v>154</v>
      </c>
    </row>
    <row r="191" spans="1:20" x14ac:dyDescent="0.3">
      <c r="A191" s="24" t="s">
        <v>297</v>
      </c>
      <c r="B191" s="24" t="s">
        <v>45</v>
      </c>
      <c r="C191" s="24" t="s">
        <v>58</v>
      </c>
      <c r="D191" s="25">
        <v>8.5</v>
      </c>
      <c r="E191" s="24">
        <v>100</v>
      </c>
      <c r="F191" s="24" t="s">
        <v>63</v>
      </c>
      <c r="G191" s="24" t="s">
        <v>67</v>
      </c>
      <c r="H191" s="24" t="s">
        <v>67</v>
      </c>
      <c r="I191" s="24">
        <v>71</v>
      </c>
      <c r="J191" s="24">
        <v>78</v>
      </c>
      <c r="K191" s="24">
        <v>70</v>
      </c>
      <c r="L191" s="24">
        <v>71</v>
      </c>
      <c r="M191" s="24">
        <v>77</v>
      </c>
      <c r="N191" s="26">
        <f t="shared" si="2"/>
        <v>73.400000000000006</v>
      </c>
      <c r="O191" s="11" t="str">
        <f>LOOKUP(N191,Settings!$A$10:$A$14,Settings!$B$10:$B$14)</f>
        <v>B</v>
      </c>
      <c r="P191" s="11" t="str">
        <f>IF(N191&gt;=Settings!$B$3,"Pass","Fail")</f>
        <v>Pass</v>
      </c>
      <c r="Q191" s="11" t="str">
        <f>LOOKUP(D191,Settings!$A$19:$A$23,Settings!$B$19:$B$23)</f>
        <v>5 to 9 hrs</v>
      </c>
      <c r="R191" s="11" t="str">
        <f>LOOKUP(E191,Settings!$A$28:$A$31,Settings!$B$28:$B$31)</f>
        <v>95 to 100%</v>
      </c>
      <c r="S191" s="11" t="str">
        <f>IF(OR(N191&lt;Settings!$B$4,E191&lt;Settings!$B$5),"Yes","No")</f>
        <v>No</v>
      </c>
      <c r="T191" s="11">
        <f>RANK(N191,$N$2:$N$301,0)+COUNTIF($N$2:N191,N191)-1</f>
        <v>31</v>
      </c>
    </row>
    <row r="192" spans="1:20" x14ac:dyDescent="0.3">
      <c r="A192" s="24" t="s">
        <v>298</v>
      </c>
      <c r="B192" s="24" t="s">
        <v>46</v>
      </c>
      <c r="C192" s="24" t="s">
        <v>59</v>
      </c>
      <c r="D192" s="25">
        <v>9.5</v>
      </c>
      <c r="E192" s="24">
        <v>86</v>
      </c>
      <c r="F192" s="24" t="s">
        <v>62</v>
      </c>
      <c r="G192" s="24" t="s">
        <v>67</v>
      </c>
      <c r="H192" s="24" t="s">
        <v>68</v>
      </c>
      <c r="I192" s="24">
        <v>44</v>
      </c>
      <c r="J192" s="24">
        <v>50</v>
      </c>
      <c r="K192" s="24">
        <v>54</v>
      </c>
      <c r="L192" s="24">
        <v>43</v>
      </c>
      <c r="M192" s="24">
        <v>52</v>
      </c>
      <c r="N192" s="26">
        <f t="shared" si="2"/>
        <v>48.6</v>
      </c>
      <c r="O192" s="11" t="str">
        <f>LOOKUP(N192,Settings!$A$10:$A$14,Settings!$B$10:$B$14)</f>
        <v>F</v>
      </c>
      <c r="P192" s="11" t="str">
        <f>IF(N192&gt;=Settings!$B$3,"Pass","Fail")</f>
        <v>Fail</v>
      </c>
      <c r="Q192" s="11" t="str">
        <f>LOOKUP(D192,Settings!$A$19:$A$23,Settings!$B$19:$B$23)</f>
        <v>5 to 9 hrs</v>
      </c>
      <c r="R192" s="11" t="str">
        <f>LOOKUP(E192,Settings!$A$28:$A$31,Settings!$B$28:$B$31)</f>
        <v>85 to 94%</v>
      </c>
      <c r="S192" s="11" t="str">
        <f>IF(OR(N192&lt;Settings!$B$4,E192&lt;Settings!$B$5),"Yes","No")</f>
        <v>Yes</v>
      </c>
      <c r="T192" s="11">
        <f>RANK(N192,$N$2:$N$301,0)+COUNTIF($N$2:N192,N192)-1</f>
        <v>275</v>
      </c>
    </row>
    <row r="193" spans="1:20" x14ac:dyDescent="0.3">
      <c r="A193" s="24" t="s">
        <v>299</v>
      </c>
      <c r="B193" s="24" t="s">
        <v>45</v>
      </c>
      <c r="C193" s="24" t="s">
        <v>58</v>
      </c>
      <c r="D193" s="25">
        <v>18.399999999999999</v>
      </c>
      <c r="E193" s="24">
        <v>90</v>
      </c>
      <c r="F193" s="24" t="s">
        <v>63</v>
      </c>
      <c r="G193" s="24" t="s">
        <v>67</v>
      </c>
      <c r="H193" s="24" t="s">
        <v>68</v>
      </c>
      <c r="I193" s="24">
        <v>70</v>
      </c>
      <c r="J193" s="24">
        <v>83</v>
      </c>
      <c r="K193" s="24">
        <v>66</v>
      </c>
      <c r="L193" s="24">
        <v>78</v>
      </c>
      <c r="M193" s="24">
        <v>68</v>
      </c>
      <c r="N193" s="26">
        <f t="shared" si="2"/>
        <v>73</v>
      </c>
      <c r="O193" s="11" t="str">
        <f>LOOKUP(N193,Settings!$A$10:$A$14,Settings!$B$10:$B$14)</f>
        <v>B</v>
      </c>
      <c r="P193" s="11" t="str">
        <f>IF(N193&gt;=Settings!$B$3,"Pass","Fail")</f>
        <v>Pass</v>
      </c>
      <c r="Q193" s="11" t="str">
        <f>LOOKUP(D193,Settings!$A$19:$A$23,Settings!$B$19:$B$23)</f>
        <v>15 to 19 hrs</v>
      </c>
      <c r="R193" s="11" t="str">
        <f>LOOKUP(E193,Settings!$A$28:$A$31,Settings!$B$28:$B$31)</f>
        <v>85 to 94%</v>
      </c>
      <c r="S193" s="11" t="str">
        <f>IF(OR(N193&lt;Settings!$B$4,E193&lt;Settings!$B$5),"Yes","No")</f>
        <v>No</v>
      </c>
      <c r="T193" s="11">
        <f>RANK(N193,$N$2:$N$301,0)+COUNTIF($N$2:N193,N193)-1</f>
        <v>33</v>
      </c>
    </row>
    <row r="194" spans="1:20" x14ac:dyDescent="0.3">
      <c r="A194" s="24" t="s">
        <v>300</v>
      </c>
      <c r="B194" s="24" t="s">
        <v>45</v>
      </c>
      <c r="C194" s="24" t="s">
        <v>58</v>
      </c>
      <c r="D194" s="25">
        <v>14.7</v>
      </c>
      <c r="E194" s="24">
        <v>73</v>
      </c>
      <c r="F194" s="24" t="s">
        <v>63</v>
      </c>
      <c r="G194" s="24" t="s">
        <v>67</v>
      </c>
      <c r="H194" s="24" t="s">
        <v>67</v>
      </c>
      <c r="I194" s="24">
        <v>63</v>
      </c>
      <c r="J194" s="24">
        <v>77</v>
      </c>
      <c r="K194" s="24">
        <v>68</v>
      </c>
      <c r="L194" s="24">
        <v>79</v>
      </c>
      <c r="M194" s="24">
        <v>65</v>
      </c>
      <c r="N194" s="26">
        <f t="shared" ref="N194:N257" si="3">ROUND(AVERAGE(I194:M194),1)</f>
        <v>70.400000000000006</v>
      </c>
      <c r="O194" s="11" t="str">
        <f>LOOKUP(N194,Settings!$A$10:$A$14,Settings!$B$10:$B$14)</f>
        <v>B</v>
      </c>
      <c r="P194" s="11" t="str">
        <f>IF(N194&gt;=Settings!$B$3,"Pass","Fail")</f>
        <v>Pass</v>
      </c>
      <c r="Q194" s="11" t="str">
        <f>LOOKUP(D194,Settings!$A$19:$A$23,Settings!$B$19:$B$23)</f>
        <v>10 to 14 hrs</v>
      </c>
      <c r="R194" s="11" t="str">
        <f>LOOKUP(E194,Settings!$A$28:$A$31,Settings!$B$28:$B$31)</f>
        <v>Below 75%</v>
      </c>
      <c r="S194" s="11" t="str">
        <f>IF(OR(N194&lt;Settings!$B$4,E194&lt;Settings!$B$5),"Yes","No")</f>
        <v>Yes</v>
      </c>
      <c r="T194" s="11">
        <f>RANK(N194,$N$2:$N$301,0)+COUNTIF($N$2:N194,N194)-1</f>
        <v>56</v>
      </c>
    </row>
    <row r="195" spans="1:20" x14ac:dyDescent="0.3">
      <c r="A195" s="24" t="s">
        <v>301</v>
      </c>
      <c r="B195" s="24" t="s">
        <v>46</v>
      </c>
      <c r="C195" s="24" t="s">
        <v>57</v>
      </c>
      <c r="D195" s="25">
        <v>10.1</v>
      </c>
      <c r="E195" s="24">
        <v>80</v>
      </c>
      <c r="F195" s="24" t="s">
        <v>62</v>
      </c>
      <c r="G195" s="24" t="s">
        <v>67</v>
      </c>
      <c r="H195" s="24" t="s">
        <v>67</v>
      </c>
      <c r="I195" s="24">
        <v>35</v>
      </c>
      <c r="J195" s="24">
        <v>45</v>
      </c>
      <c r="K195" s="24">
        <v>45</v>
      </c>
      <c r="L195" s="24">
        <v>50</v>
      </c>
      <c r="M195" s="24">
        <v>51</v>
      </c>
      <c r="N195" s="26">
        <f t="shared" si="3"/>
        <v>45.2</v>
      </c>
      <c r="O195" s="11" t="str">
        <f>LOOKUP(N195,Settings!$A$10:$A$14,Settings!$B$10:$B$14)</f>
        <v>F</v>
      </c>
      <c r="P195" s="11" t="str">
        <f>IF(N195&gt;=Settings!$B$3,"Pass","Fail")</f>
        <v>Fail</v>
      </c>
      <c r="Q195" s="11" t="str">
        <f>LOOKUP(D195,Settings!$A$19:$A$23,Settings!$B$19:$B$23)</f>
        <v>10 to 14 hrs</v>
      </c>
      <c r="R195" s="11" t="str">
        <f>LOOKUP(E195,Settings!$A$28:$A$31,Settings!$B$28:$B$31)</f>
        <v>75 to 84%</v>
      </c>
      <c r="S195" s="11" t="str">
        <f>IF(OR(N195&lt;Settings!$B$4,E195&lt;Settings!$B$5),"Yes","No")</f>
        <v>Yes</v>
      </c>
      <c r="T195" s="11">
        <f>RANK(N195,$N$2:$N$301,0)+COUNTIF($N$2:N195,N195)-1</f>
        <v>287</v>
      </c>
    </row>
    <row r="196" spans="1:20" x14ac:dyDescent="0.3">
      <c r="A196" s="24" t="s">
        <v>302</v>
      </c>
      <c r="B196" s="24" t="s">
        <v>45</v>
      </c>
      <c r="C196" s="24" t="s">
        <v>59</v>
      </c>
      <c r="D196" s="25">
        <v>10.8</v>
      </c>
      <c r="E196" s="24">
        <v>87</v>
      </c>
      <c r="F196" s="24" t="s">
        <v>62</v>
      </c>
      <c r="G196" s="24" t="s">
        <v>67</v>
      </c>
      <c r="H196" s="24" t="s">
        <v>68</v>
      </c>
      <c r="I196" s="24">
        <v>66</v>
      </c>
      <c r="J196" s="24">
        <v>62</v>
      </c>
      <c r="K196" s="24">
        <v>60</v>
      </c>
      <c r="L196" s="24">
        <v>75</v>
      </c>
      <c r="M196" s="24">
        <v>63</v>
      </c>
      <c r="N196" s="26">
        <f t="shared" si="3"/>
        <v>65.2</v>
      </c>
      <c r="O196" s="11" t="str">
        <f>LOOKUP(N196,Settings!$A$10:$A$14,Settings!$B$10:$B$14)</f>
        <v>C</v>
      </c>
      <c r="P196" s="11" t="str">
        <f>IF(N196&gt;=Settings!$B$3,"Pass","Fail")</f>
        <v>Pass</v>
      </c>
      <c r="Q196" s="11" t="str">
        <f>LOOKUP(D196,Settings!$A$19:$A$23,Settings!$B$19:$B$23)</f>
        <v>10 to 14 hrs</v>
      </c>
      <c r="R196" s="11" t="str">
        <f>LOOKUP(E196,Settings!$A$28:$A$31,Settings!$B$28:$B$31)</f>
        <v>85 to 94%</v>
      </c>
      <c r="S196" s="11" t="str">
        <f>IF(OR(N196&lt;Settings!$B$4,E196&lt;Settings!$B$5),"Yes","No")</f>
        <v>No</v>
      </c>
      <c r="T196" s="11">
        <f>RANK(N196,$N$2:$N$301,0)+COUNTIF($N$2:N196,N196)-1</f>
        <v>113</v>
      </c>
    </row>
    <row r="197" spans="1:20" x14ac:dyDescent="0.3">
      <c r="A197" s="24" t="s">
        <v>303</v>
      </c>
      <c r="B197" s="24" t="s">
        <v>45</v>
      </c>
      <c r="C197" s="24" t="s">
        <v>58</v>
      </c>
      <c r="D197" s="25">
        <v>4.2</v>
      </c>
      <c r="E197" s="24">
        <v>75</v>
      </c>
      <c r="F197" s="24" t="s">
        <v>63</v>
      </c>
      <c r="G197" s="24" t="s">
        <v>67</v>
      </c>
      <c r="H197" s="24" t="s">
        <v>67</v>
      </c>
      <c r="I197" s="24">
        <v>41</v>
      </c>
      <c r="J197" s="24">
        <v>56</v>
      </c>
      <c r="K197" s="24">
        <v>39</v>
      </c>
      <c r="L197" s="24">
        <v>40</v>
      </c>
      <c r="M197" s="24">
        <v>41</v>
      </c>
      <c r="N197" s="26">
        <f t="shared" si="3"/>
        <v>43.4</v>
      </c>
      <c r="O197" s="11" t="str">
        <f>LOOKUP(N197,Settings!$A$10:$A$14,Settings!$B$10:$B$14)</f>
        <v>F</v>
      </c>
      <c r="P197" s="11" t="str">
        <f>IF(N197&gt;=Settings!$B$3,"Pass","Fail")</f>
        <v>Fail</v>
      </c>
      <c r="Q197" s="11" t="str">
        <f>LOOKUP(D197,Settings!$A$19:$A$23,Settings!$B$19:$B$23)</f>
        <v>0 to 4 hrs</v>
      </c>
      <c r="R197" s="11" t="str">
        <f>LOOKUP(E197,Settings!$A$28:$A$31,Settings!$B$28:$B$31)</f>
        <v>75 to 84%</v>
      </c>
      <c r="S197" s="11" t="str">
        <f>IF(OR(N197&lt;Settings!$B$4,E197&lt;Settings!$B$5),"Yes","No")</f>
        <v>Yes</v>
      </c>
      <c r="T197" s="11">
        <f>RANK(N197,$N$2:$N$301,0)+COUNTIF($N$2:N197,N197)-1</f>
        <v>293</v>
      </c>
    </row>
    <row r="198" spans="1:20" x14ac:dyDescent="0.3">
      <c r="A198" s="24" t="s">
        <v>304</v>
      </c>
      <c r="B198" s="24" t="s">
        <v>46</v>
      </c>
      <c r="C198" s="24" t="s">
        <v>58</v>
      </c>
      <c r="D198" s="25">
        <v>13.9</v>
      </c>
      <c r="E198" s="24">
        <v>94</v>
      </c>
      <c r="F198" s="24" t="s">
        <v>62</v>
      </c>
      <c r="G198" s="24" t="s">
        <v>67</v>
      </c>
      <c r="H198" s="24" t="s">
        <v>68</v>
      </c>
      <c r="I198" s="24">
        <v>57</v>
      </c>
      <c r="J198" s="24">
        <v>65</v>
      </c>
      <c r="K198" s="24">
        <v>83</v>
      </c>
      <c r="L198" s="24">
        <v>69</v>
      </c>
      <c r="M198" s="24">
        <v>68</v>
      </c>
      <c r="N198" s="26">
        <f t="shared" si="3"/>
        <v>68.400000000000006</v>
      </c>
      <c r="O198" s="11" t="str">
        <f>LOOKUP(N198,Settings!$A$10:$A$14,Settings!$B$10:$B$14)</f>
        <v>C</v>
      </c>
      <c r="P198" s="11" t="str">
        <f>IF(N198&gt;=Settings!$B$3,"Pass","Fail")</f>
        <v>Pass</v>
      </c>
      <c r="Q198" s="11" t="str">
        <f>LOOKUP(D198,Settings!$A$19:$A$23,Settings!$B$19:$B$23)</f>
        <v>10 to 14 hrs</v>
      </c>
      <c r="R198" s="11" t="str">
        <f>LOOKUP(E198,Settings!$A$28:$A$31,Settings!$B$28:$B$31)</f>
        <v>85 to 94%</v>
      </c>
      <c r="S198" s="11" t="str">
        <f>IF(OR(N198&lt;Settings!$B$4,E198&lt;Settings!$B$5),"Yes","No")</f>
        <v>No</v>
      </c>
      <c r="T198" s="11">
        <f>RANK(N198,$N$2:$N$301,0)+COUNTIF($N$2:N198,N198)-1</f>
        <v>73</v>
      </c>
    </row>
    <row r="199" spans="1:20" x14ac:dyDescent="0.3">
      <c r="A199" s="24" t="s">
        <v>305</v>
      </c>
      <c r="B199" s="24" t="s">
        <v>46</v>
      </c>
      <c r="C199" s="24" t="s">
        <v>58</v>
      </c>
      <c r="D199" s="25">
        <v>3.2</v>
      </c>
      <c r="E199" s="24">
        <v>74</v>
      </c>
      <c r="F199" s="24" t="s">
        <v>62</v>
      </c>
      <c r="G199" s="24" t="s">
        <v>68</v>
      </c>
      <c r="H199" s="24" t="s">
        <v>68</v>
      </c>
      <c r="I199" s="24">
        <v>51</v>
      </c>
      <c r="J199" s="24">
        <v>43</v>
      </c>
      <c r="K199" s="24">
        <v>42</v>
      </c>
      <c r="L199" s="24">
        <v>38</v>
      </c>
      <c r="M199" s="24">
        <v>36</v>
      </c>
      <c r="N199" s="26">
        <f t="shared" si="3"/>
        <v>42</v>
      </c>
      <c r="O199" s="11" t="str">
        <f>LOOKUP(N199,Settings!$A$10:$A$14,Settings!$B$10:$B$14)</f>
        <v>F</v>
      </c>
      <c r="P199" s="11" t="str">
        <f>IF(N199&gt;=Settings!$B$3,"Pass","Fail")</f>
        <v>Fail</v>
      </c>
      <c r="Q199" s="11" t="str">
        <f>LOOKUP(D199,Settings!$A$19:$A$23,Settings!$B$19:$B$23)</f>
        <v>0 to 4 hrs</v>
      </c>
      <c r="R199" s="11" t="str">
        <f>LOOKUP(E199,Settings!$A$28:$A$31,Settings!$B$28:$B$31)</f>
        <v>Below 75%</v>
      </c>
      <c r="S199" s="11" t="str">
        <f>IF(OR(N199&lt;Settings!$B$4,E199&lt;Settings!$B$5),"Yes","No")</f>
        <v>Yes</v>
      </c>
      <c r="T199" s="11">
        <f>RANK(N199,$N$2:$N$301,0)+COUNTIF($N$2:N199,N199)-1</f>
        <v>295</v>
      </c>
    </row>
    <row r="200" spans="1:20" x14ac:dyDescent="0.3">
      <c r="A200" s="24" t="s">
        <v>306</v>
      </c>
      <c r="B200" s="24" t="s">
        <v>45</v>
      </c>
      <c r="C200" s="24" t="s">
        <v>58</v>
      </c>
      <c r="D200" s="25">
        <v>15.8</v>
      </c>
      <c r="E200" s="24">
        <v>85</v>
      </c>
      <c r="F200" s="24" t="s">
        <v>63</v>
      </c>
      <c r="G200" s="24" t="s">
        <v>68</v>
      </c>
      <c r="H200" s="24" t="s">
        <v>68</v>
      </c>
      <c r="I200" s="24">
        <v>77</v>
      </c>
      <c r="J200" s="24">
        <v>70</v>
      </c>
      <c r="K200" s="24">
        <v>60</v>
      </c>
      <c r="L200" s="24">
        <v>70</v>
      </c>
      <c r="M200" s="24">
        <v>71</v>
      </c>
      <c r="N200" s="26">
        <f t="shared" si="3"/>
        <v>69.599999999999994</v>
      </c>
      <c r="O200" s="11" t="str">
        <f>LOOKUP(N200,Settings!$A$10:$A$14,Settings!$B$10:$B$14)</f>
        <v>C</v>
      </c>
      <c r="P200" s="11" t="str">
        <f>IF(N200&gt;=Settings!$B$3,"Pass","Fail")</f>
        <v>Pass</v>
      </c>
      <c r="Q200" s="11" t="str">
        <f>LOOKUP(D200,Settings!$A$19:$A$23,Settings!$B$19:$B$23)</f>
        <v>15 to 19 hrs</v>
      </c>
      <c r="R200" s="11" t="str">
        <f>LOOKUP(E200,Settings!$A$28:$A$31,Settings!$B$28:$B$31)</f>
        <v>85 to 94%</v>
      </c>
      <c r="S200" s="11" t="str">
        <f>IF(OR(N200&lt;Settings!$B$4,E200&lt;Settings!$B$5),"Yes","No")</f>
        <v>No</v>
      </c>
      <c r="T200" s="11">
        <f>RANK(N200,$N$2:$N$301,0)+COUNTIF($N$2:N200,N200)-1</f>
        <v>62</v>
      </c>
    </row>
    <row r="201" spans="1:20" x14ac:dyDescent="0.3">
      <c r="A201" s="24" t="s">
        <v>307</v>
      </c>
      <c r="B201" s="24" t="s">
        <v>45</v>
      </c>
      <c r="C201" s="24" t="s">
        <v>58</v>
      </c>
      <c r="D201" s="25">
        <v>12.6</v>
      </c>
      <c r="E201" s="24">
        <v>81</v>
      </c>
      <c r="F201" s="24" t="s">
        <v>63</v>
      </c>
      <c r="G201" s="24" t="s">
        <v>67</v>
      </c>
      <c r="H201" s="24" t="s">
        <v>67</v>
      </c>
      <c r="I201" s="24">
        <v>73</v>
      </c>
      <c r="J201" s="24">
        <v>63</v>
      </c>
      <c r="K201" s="24">
        <v>61</v>
      </c>
      <c r="L201" s="24">
        <v>72</v>
      </c>
      <c r="M201" s="24">
        <v>54</v>
      </c>
      <c r="N201" s="26">
        <f t="shared" si="3"/>
        <v>64.599999999999994</v>
      </c>
      <c r="O201" s="11" t="str">
        <f>LOOKUP(N201,Settings!$A$10:$A$14,Settings!$B$10:$B$14)</f>
        <v>C</v>
      </c>
      <c r="P201" s="11" t="str">
        <f>IF(N201&gt;=Settings!$B$3,"Pass","Fail")</f>
        <v>Pass</v>
      </c>
      <c r="Q201" s="11" t="str">
        <f>LOOKUP(D201,Settings!$A$19:$A$23,Settings!$B$19:$B$23)</f>
        <v>10 to 14 hrs</v>
      </c>
      <c r="R201" s="11" t="str">
        <f>LOOKUP(E201,Settings!$A$28:$A$31,Settings!$B$28:$B$31)</f>
        <v>75 to 84%</v>
      </c>
      <c r="S201" s="11" t="str">
        <f>IF(OR(N201&lt;Settings!$B$4,E201&lt;Settings!$B$5),"Yes","No")</f>
        <v>No</v>
      </c>
      <c r="T201" s="11">
        <f>RANK(N201,$N$2:$N$301,0)+COUNTIF($N$2:N201,N201)-1</f>
        <v>120</v>
      </c>
    </row>
    <row r="202" spans="1:20" x14ac:dyDescent="0.3">
      <c r="A202" s="24" t="s">
        <v>308</v>
      </c>
      <c r="B202" s="24" t="s">
        <v>46</v>
      </c>
      <c r="C202" s="24" t="s">
        <v>59</v>
      </c>
      <c r="D202" s="25">
        <v>23.9</v>
      </c>
      <c r="E202" s="24">
        <v>91</v>
      </c>
      <c r="F202" s="24" t="s">
        <v>63</v>
      </c>
      <c r="G202" s="24" t="s">
        <v>67</v>
      </c>
      <c r="H202" s="24" t="s">
        <v>67</v>
      </c>
      <c r="I202" s="24">
        <v>73</v>
      </c>
      <c r="J202" s="24">
        <v>58</v>
      </c>
      <c r="K202" s="24">
        <v>68</v>
      </c>
      <c r="L202" s="24">
        <v>70</v>
      </c>
      <c r="M202" s="24">
        <v>68</v>
      </c>
      <c r="N202" s="26">
        <f t="shared" si="3"/>
        <v>67.400000000000006</v>
      </c>
      <c r="O202" s="11" t="str">
        <f>LOOKUP(N202,Settings!$A$10:$A$14,Settings!$B$10:$B$14)</f>
        <v>C</v>
      </c>
      <c r="P202" s="11" t="str">
        <f>IF(N202&gt;=Settings!$B$3,"Pass","Fail")</f>
        <v>Pass</v>
      </c>
      <c r="Q202" s="11" t="str">
        <f>LOOKUP(D202,Settings!$A$19:$A$23,Settings!$B$19:$B$23)</f>
        <v>20+ hrs</v>
      </c>
      <c r="R202" s="11" t="str">
        <f>LOOKUP(E202,Settings!$A$28:$A$31,Settings!$B$28:$B$31)</f>
        <v>85 to 94%</v>
      </c>
      <c r="S202" s="11" t="str">
        <f>IF(OR(N202&lt;Settings!$B$4,E202&lt;Settings!$B$5),"Yes","No")</f>
        <v>No</v>
      </c>
      <c r="T202" s="11">
        <f>RANK(N202,$N$2:$N$301,0)+COUNTIF($N$2:N202,N202)-1</f>
        <v>83</v>
      </c>
    </row>
    <row r="203" spans="1:20" x14ac:dyDescent="0.3">
      <c r="A203" s="24" t="s">
        <v>309</v>
      </c>
      <c r="B203" s="24" t="s">
        <v>46</v>
      </c>
      <c r="C203" s="24" t="s">
        <v>59</v>
      </c>
      <c r="D203" s="25">
        <v>6.5</v>
      </c>
      <c r="E203" s="24">
        <v>79</v>
      </c>
      <c r="F203" s="24" t="s">
        <v>63</v>
      </c>
      <c r="G203" s="24" t="s">
        <v>67</v>
      </c>
      <c r="H203" s="24" t="s">
        <v>67</v>
      </c>
      <c r="I203" s="24">
        <v>53</v>
      </c>
      <c r="J203" s="24">
        <v>53</v>
      </c>
      <c r="K203" s="24">
        <v>54</v>
      </c>
      <c r="L203" s="24">
        <v>42</v>
      </c>
      <c r="M203" s="24">
        <v>56</v>
      </c>
      <c r="N203" s="26">
        <f t="shared" si="3"/>
        <v>51.6</v>
      </c>
      <c r="O203" s="11" t="str">
        <f>LOOKUP(N203,Settings!$A$10:$A$14,Settings!$B$10:$B$14)</f>
        <v>D</v>
      </c>
      <c r="P203" s="11" t="str">
        <f>IF(N203&gt;=Settings!$B$3,"Pass","Fail")</f>
        <v>Pass</v>
      </c>
      <c r="Q203" s="11" t="str">
        <f>LOOKUP(D203,Settings!$A$19:$A$23,Settings!$B$19:$B$23)</f>
        <v>5 to 9 hrs</v>
      </c>
      <c r="R203" s="11" t="str">
        <f>LOOKUP(E203,Settings!$A$28:$A$31,Settings!$B$28:$B$31)</f>
        <v>75 to 84%</v>
      </c>
      <c r="S203" s="11" t="str">
        <f>IF(OR(N203&lt;Settings!$B$4,E203&lt;Settings!$B$5),"Yes","No")</f>
        <v>Yes</v>
      </c>
      <c r="T203" s="11">
        <f>RANK(N203,$N$2:$N$301,0)+COUNTIF($N$2:N203,N203)-1</f>
        <v>251</v>
      </c>
    </row>
    <row r="204" spans="1:20" x14ac:dyDescent="0.3">
      <c r="A204" s="24" t="s">
        <v>310</v>
      </c>
      <c r="B204" s="24" t="s">
        <v>45</v>
      </c>
      <c r="C204" s="24" t="s">
        <v>59</v>
      </c>
      <c r="D204" s="25">
        <v>11.5</v>
      </c>
      <c r="E204" s="24">
        <v>84</v>
      </c>
      <c r="F204" s="24" t="s">
        <v>64</v>
      </c>
      <c r="G204" s="24" t="s">
        <v>68</v>
      </c>
      <c r="H204" s="24" t="s">
        <v>68</v>
      </c>
      <c r="I204" s="24">
        <v>69</v>
      </c>
      <c r="J204" s="24">
        <v>60</v>
      </c>
      <c r="K204" s="24">
        <v>65</v>
      </c>
      <c r="L204" s="24">
        <v>56</v>
      </c>
      <c r="M204" s="24">
        <v>62</v>
      </c>
      <c r="N204" s="26">
        <f t="shared" si="3"/>
        <v>62.4</v>
      </c>
      <c r="O204" s="11" t="str">
        <f>LOOKUP(N204,Settings!$A$10:$A$14,Settings!$B$10:$B$14)</f>
        <v>C</v>
      </c>
      <c r="P204" s="11" t="str">
        <f>IF(N204&gt;=Settings!$B$3,"Pass","Fail")</f>
        <v>Pass</v>
      </c>
      <c r="Q204" s="11" t="str">
        <f>LOOKUP(D204,Settings!$A$19:$A$23,Settings!$B$19:$B$23)</f>
        <v>10 to 14 hrs</v>
      </c>
      <c r="R204" s="11" t="str">
        <f>LOOKUP(E204,Settings!$A$28:$A$31,Settings!$B$28:$B$31)</f>
        <v>75 to 84%</v>
      </c>
      <c r="S204" s="11" t="str">
        <f>IF(OR(N204&lt;Settings!$B$4,E204&lt;Settings!$B$5),"Yes","No")</f>
        <v>No</v>
      </c>
      <c r="T204" s="11">
        <f>RANK(N204,$N$2:$N$301,0)+COUNTIF($N$2:N204,N204)-1</f>
        <v>147</v>
      </c>
    </row>
    <row r="205" spans="1:20" x14ac:dyDescent="0.3">
      <c r="A205" s="24" t="s">
        <v>311</v>
      </c>
      <c r="B205" s="24" t="s">
        <v>45</v>
      </c>
      <c r="C205" s="24" t="s">
        <v>58</v>
      </c>
      <c r="D205" s="25">
        <v>21</v>
      </c>
      <c r="E205" s="24">
        <v>87</v>
      </c>
      <c r="F205" s="24" t="s">
        <v>63</v>
      </c>
      <c r="G205" s="24" t="s">
        <v>68</v>
      </c>
      <c r="H205" s="24" t="s">
        <v>67</v>
      </c>
      <c r="I205" s="24">
        <v>81</v>
      </c>
      <c r="J205" s="24">
        <v>93</v>
      </c>
      <c r="K205" s="24">
        <v>75</v>
      </c>
      <c r="L205" s="24">
        <v>65</v>
      </c>
      <c r="M205" s="24">
        <v>74</v>
      </c>
      <c r="N205" s="26">
        <f t="shared" si="3"/>
        <v>77.599999999999994</v>
      </c>
      <c r="O205" s="11" t="str">
        <f>LOOKUP(N205,Settings!$A$10:$A$14,Settings!$B$10:$B$14)</f>
        <v>B</v>
      </c>
      <c r="P205" s="11" t="str">
        <f>IF(N205&gt;=Settings!$B$3,"Pass","Fail")</f>
        <v>Pass</v>
      </c>
      <c r="Q205" s="11" t="str">
        <f>LOOKUP(D205,Settings!$A$19:$A$23,Settings!$B$19:$B$23)</f>
        <v>20+ hrs</v>
      </c>
      <c r="R205" s="11" t="str">
        <f>LOOKUP(E205,Settings!$A$28:$A$31,Settings!$B$28:$B$31)</f>
        <v>85 to 94%</v>
      </c>
      <c r="S205" s="11" t="str">
        <f>IF(OR(N205&lt;Settings!$B$4,E205&lt;Settings!$B$5),"Yes","No")</f>
        <v>No</v>
      </c>
      <c r="T205" s="11">
        <f>RANK(N205,$N$2:$N$301,0)+COUNTIF($N$2:N205,N205)-1</f>
        <v>14</v>
      </c>
    </row>
    <row r="206" spans="1:20" x14ac:dyDescent="0.3">
      <c r="A206" s="24" t="s">
        <v>312</v>
      </c>
      <c r="B206" s="24" t="s">
        <v>45</v>
      </c>
      <c r="C206" s="24" t="s">
        <v>58</v>
      </c>
      <c r="D206" s="25">
        <v>18</v>
      </c>
      <c r="E206" s="24">
        <v>82</v>
      </c>
      <c r="F206" s="24" t="s">
        <v>62</v>
      </c>
      <c r="G206" s="24" t="s">
        <v>67</v>
      </c>
      <c r="H206" s="24" t="s">
        <v>67</v>
      </c>
      <c r="I206" s="24">
        <v>76</v>
      </c>
      <c r="J206" s="24">
        <v>67</v>
      </c>
      <c r="K206" s="24">
        <v>66</v>
      </c>
      <c r="L206" s="24">
        <v>75</v>
      </c>
      <c r="M206" s="24">
        <v>70</v>
      </c>
      <c r="N206" s="26">
        <f t="shared" si="3"/>
        <v>70.8</v>
      </c>
      <c r="O206" s="11" t="str">
        <f>LOOKUP(N206,Settings!$A$10:$A$14,Settings!$B$10:$B$14)</f>
        <v>B</v>
      </c>
      <c r="P206" s="11" t="str">
        <f>IF(N206&gt;=Settings!$B$3,"Pass","Fail")</f>
        <v>Pass</v>
      </c>
      <c r="Q206" s="11" t="str">
        <f>LOOKUP(D206,Settings!$A$19:$A$23,Settings!$B$19:$B$23)</f>
        <v>15 to 19 hrs</v>
      </c>
      <c r="R206" s="11" t="str">
        <f>LOOKUP(E206,Settings!$A$28:$A$31,Settings!$B$28:$B$31)</f>
        <v>75 to 84%</v>
      </c>
      <c r="S206" s="11" t="str">
        <f>IF(OR(N206&lt;Settings!$B$4,E206&lt;Settings!$B$5),"Yes","No")</f>
        <v>No</v>
      </c>
      <c r="T206" s="11">
        <f>RANK(N206,$N$2:$N$301,0)+COUNTIF($N$2:N206,N206)-1</f>
        <v>50</v>
      </c>
    </row>
    <row r="207" spans="1:20" x14ac:dyDescent="0.3">
      <c r="A207" s="24" t="s">
        <v>313</v>
      </c>
      <c r="B207" s="24" t="s">
        <v>45</v>
      </c>
      <c r="C207" s="24" t="s">
        <v>59</v>
      </c>
      <c r="D207" s="25">
        <v>8.5</v>
      </c>
      <c r="E207" s="24">
        <v>89</v>
      </c>
      <c r="F207" s="24" t="s">
        <v>62</v>
      </c>
      <c r="G207" s="24" t="s">
        <v>68</v>
      </c>
      <c r="H207" s="24" t="s">
        <v>67</v>
      </c>
      <c r="I207" s="24">
        <v>52</v>
      </c>
      <c r="J207" s="24">
        <v>54</v>
      </c>
      <c r="K207" s="24">
        <v>61</v>
      </c>
      <c r="L207" s="24">
        <v>73</v>
      </c>
      <c r="M207" s="24">
        <v>64</v>
      </c>
      <c r="N207" s="26">
        <f t="shared" si="3"/>
        <v>60.8</v>
      </c>
      <c r="O207" s="11" t="str">
        <f>LOOKUP(N207,Settings!$A$10:$A$14,Settings!$B$10:$B$14)</f>
        <v>C</v>
      </c>
      <c r="P207" s="11" t="str">
        <f>IF(N207&gt;=Settings!$B$3,"Pass","Fail")</f>
        <v>Pass</v>
      </c>
      <c r="Q207" s="11" t="str">
        <f>LOOKUP(D207,Settings!$A$19:$A$23,Settings!$B$19:$B$23)</f>
        <v>5 to 9 hrs</v>
      </c>
      <c r="R207" s="11" t="str">
        <f>LOOKUP(E207,Settings!$A$28:$A$31,Settings!$B$28:$B$31)</f>
        <v>85 to 94%</v>
      </c>
      <c r="S207" s="11" t="str">
        <f>IF(OR(N207&lt;Settings!$B$4,E207&lt;Settings!$B$5),"Yes","No")</f>
        <v>No</v>
      </c>
      <c r="T207" s="11">
        <f>RANK(N207,$N$2:$N$301,0)+COUNTIF($N$2:N207,N207)-1</f>
        <v>166</v>
      </c>
    </row>
    <row r="208" spans="1:20" x14ac:dyDescent="0.3">
      <c r="A208" s="24" t="s">
        <v>314</v>
      </c>
      <c r="B208" s="24" t="s">
        <v>45</v>
      </c>
      <c r="C208" s="24" t="s">
        <v>57</v>
      </c>
      <c r="D208" s="25">
        <v>13.1</v>
      </c>
      <c r="E208" s="24">
        <v>88</v>
      </c>
      <c r="F208" s="24" t="s">
        <v>63</v>
      </c>
      <c r="G208" s="24" t="s">
        <v>67</v>
      </c>
      <c r="H208" s="24" t="s">
        <v>68</v>
      </c>
      <c r="I208" s="24">
        <v>68</v>
      </c>
      <c r="J208" s="24">
        <v>73</v>
      </c>
      <c r="K208" s="24">
        <v>62</v>
      </c>
      <c r="L208" s="24">
        <v>77</v>
      </c>
      <c r="M208" s="24">
        <v>73</v>
      </c>
      <c r="N208" s="26">
        <f t="shared" si="3"/>
        <v>70.599999999999994</v>
      </c>
      <c r="O208" s="11" t="str">
        <f>LOOKUP(N208,Settings!$A$10:$A$14,Settings!$B$10:$B$14)</f>
        <v>B</v>
      </c>
      <c r="P208" s="11" t="str">
        <f>IF(N208&gt;=Settings!$B$3,"Pass","Fail")</f>
        <v>Pass</v>
      </c>
      <c r="Q208" s="11" t="str">
        <f>LOOKUP(D208,Settings!$A$19:$A$23,Settings!$B$19:$B$23)</f>
        <v>10 to 14 hrs</v>
      </c>
      <c r="R208" s="11" t="str">
        <f>LOOKUP(E208,Settings!$A$28:$A$31,Settings!$B$28:$B$31)</f>
        <v>85 to 94%</v>
      </c>
      <c r="S208" s="11" t="str">
        <f>IF(OR(N208&lt;Settings!$B$4,E208&lt;Settings!$B$5),"Yes","No")</f>
        <v>No</v>
      </c>
      <c r="T208" s="11">
        <f>RANK(N208,$N$2:$N$301,0)+COUNTIF($N$2:N208,N208)-1</f>
        <v>53</v>
      </c>
    </row>
    <row r="209" spans="1:20" x14ac:dyDescent="0.3">
      <c r="A209" s="24" t="s">
        <v>315</v>
      </c>
      <c r="B209" s="24" t="s">
        <v>46</v>
      </c>
      <c r="C209" s="24" t="s">
        <v>59</v>
      </c>
      <c r="D209" s="25">
        <v>12</v>
      </c>
      <c r="E209" s="24">
        <v>85</v>
      </c>
      <c r="F209" s="24" t="s">
        <v>62</v>
      </c>
      <c r="G209" s="24" t="s">
        <v>67</v>
      </c>
      <c r="H209" s="24" t="s">
        <v>67</v>
      </c>
      <c r="I209" s="24">
        <v>65</v>
      </c>
      <c r="J209" s="24">
        <v>68</v>
      </c>
      <c r="K209" s="24">
        <v>57</v>
      </c>
      <c r="L209" s="24">
        <v>49</v>
      </c>
      <c r="M209" s="24">
        <v>64</v>
      </c>
      <c r="N209" s="26">
        <f t="shared" si="3"/>
        <v>60.6</v>
      </c>
      <c r="O209" s="11" t="str">
        <f>LOOKUP(N209,Settings!$A$10:$A$14,Settings!$B$10:$B$14)</f>
        <v>C</v>
      </c>
      <c r="P209" s="11" t="str">
        <f>IF(N209&gt;=Settings!$B$3,"Pass","Fail")</f>
        <v>Pass</v>
      </c>
      <c r="Q209" s="11" t="str">
        <f>LOOKUP(D209,Settings!$A$19:$A$23,Settings!$B$19:$B$23)</f>
        <v>10 to 14 hrs</v>
      </c>
      <c r="R209" s="11" t="str">
        <f>LOOKUP(E209,Settings!$A$28:$A$31,Settings!$B$28:$B$31)</f>
        <v>85 to 94%</v>
      </c>
      <c r="S209" s="11" t="str">
        <f>IF(OR(N209&lt;Settings!$B$4,E209&lt;Settings!$B$5),"Yes","No")</f>
        <v>No</v>
      </c>
      <c r="T209" s="11">
        <f>RANK(N209,$N$2:$N$301,0)+COUNTIF($N$2:N209,N209)-1</f>
        <v>171</v>
      </c>
    </row>
    <row r="210" spans="1:20" x14ac:dyDescent="0.3">
      <c r="A210" s="24" t="s">
        <v>316</v>
      </c>
      <c r="B210" s="24" t="s">
        <v>45</v>
      </c>
      <c r="C210" s="24" t="s">
        <v>58</v>
      </c>
      <c r="D210" s="25">
        <v>13.4</v>
      </c>
      <c r="E210" s="24">
        <v>83</v>
      </c>
      <c r="F210" s="24" t="s">
        <v>63</v>
      </c>
      <c r="G210" s="24" t="s">
        <v>68</v>
      </c>
      <c r="H210" s="24" t="s">
        <v>68</v>
      </c>
      <c r="I210" s="24">
        <v>39</v>
      </c>
      <c r="J210" s="24">
        <v>54</v>
      </c>
      <c r="K210" s="24">
        <v>45</v>
      </c>
      <c r="L210" s="24">
        <v>61</v>
      </c>
      <c r="M210" s="24">
        <v>55</v>
      </c>
      <c r="N210" s="26">
        <f t="shared" si="3"/>
        <v>50.8</v>
      </c>
      <c r="O210" s="11" t="str">
        <f>LOOKUP(N210,Settings!$A$10:$A$14,Settings!$B$10:$B$14)</f>
        <v>D</v>
      </c>
      <c r="P210" s="11" t="str">
        <f>IF(N210&gt;=Settings!$B$3,"Pass","Fail")</f>
        <v>Pass</v>
      </c>
      <c r="Q210" s="11" t="str">
        <f>LOOKUP(D210,Settings!$A$19:$A$23,Settings!$B$19:$B$23)</f>
        <v>10 to 14 hrs</v>
      </c>
      <c r="R210" s="11" t="str">
        <f>LOOKUP(E210,Settings!$A$28:$A$31,Settings!$B$28:$B$31)</f>
        <v>75 to 84%</v>
      </c>
      <c r="S210" s="11" t="str">
        <f>IF(OR(N210&lt;Settings!$B$4,E210&lt;Settings!$B$5),"Yes","No")</f>
        <v>Yes</v>
      </c>
      <c r="T210" s="11">
        <f>RANK(N210,$N$2:$N$301,0)+COUNTIF($N$2:N210,N210)-1</f>
        <v>259</v>
      </c>
    </row>
    <row r="211" spans="1:20" x14ac:dyDescent="0.3">
      <c r="A211" s="24" t="s">
        <v>317</v>
      </c>
      <c r="B211" s="24" t="s">
        <v>45</v>
      </c>
      <c r="C211" s="24" t="s">
        <v>57</v>
      </c>
      <c r="D211" s="25">
        <v>8.5</v>
      </c>
      <c r="E211" s="24">
        <v>91</v>
      </c>
      <c r="F211" s="24" t="s">
        <v>64</v>
      </c>
      <c r="G211" s="24" t="s">
        <v>67</v>
      </c>
      <c r="H211" s="24" t="s">
        <v>68</v>
      </c>
      <c r="I211" s="24">
        <v>62</v>
      </c>
      <c r="J211" s="24">
        <v>66</v>
      </c>
      <c r="K211" s="24">
        <v>53</v>
      </c>
      <c r="L211" s="24">
        <v>68</v>
      </c>
      <c r="M211" s="24">
        <v>64</v>
      </c>
      <c r="N211" s="26">
        <f t="shared" si="3"/>
        <v>62.6</v>
      </c>
      <c r="O211" s="11" t="str">
        <f>LOOKUP(N211,Settings!$A$10:$A$14,Settings!$B$10:$B$14)</f>
        <v>C</v>
      </c>
      <c r="P211" s="11" t="str">
        <f>IF(N211&gt;=Settings!$B$3,"Pass","Fail")</f>
        <v>Pass</v>
      </c>
      <c r="Q211" s="11" t="str">
        <f>LOOKUP(D211,Settings!$A$19:$A$23,Settings!$B$19:$B$23)</f>
        <v>5 to 9 hrs</v>
      </c>
      <c r="R211" s="11" t="str">
        <f>LOOKUP(E211,Settings!$A$28:$A$31,Settings!$B$28:$B$31)</f>
        <v>85 to 94%</v>
      </c>
      <c r="S211" s="11" t="str">
        <f>IF(OR(N211&lt;Settings!$B$4,E211&lt;Settings!$B$5),"Yes","No")</f>
        <v>No</v>
      </c>
      <c r="T211" s="11">
        <f>RANK(N211,$N$2:$N$301,0)+COUNTIF($N$2:N211,N211)-1</f>
        <v>145</v>
      </c>
    </row>
    <row r="212" spans="1:20" x14ac:dyDescent="0.3">
      <c r="A212" s="24" t="s">
        <v>318</v>
      </c>
      <c r="B212" s="24" t="s">
        <v>46</v>
      </c>
      <c r="C212" s="24" t="s">
        <v>57</v>
      </c>
      <c r="D212" s="25">
        <v>11.6</v>
      </c>
      <c r="E212" s="24">
        <v>84</v>
      </c>
      <c r="F212" s="24" t="s">
        <v>62</v>
      </c>
      <c r="G212" s="24" t="s">
        <v>67</v>
      </c>
      <c r="H212" s="24" t="s">
        <v>68</v>
      </c>
      <c r="I212" s="24">
        <v>77</v>
      </c>
      <c r="J212" s="24">
        <v>49</v>
      </c>
      <c r="K212" s="24">
        <v>68</v>
      </c>
      <c r="L212" s="24">
        <v>53</v>
      </c>
      <c r="M212" s="24">
        <v>60</v>
      </c>
      <c r="N212" s="26">
        <f t="shared" si="3"/>
        <v>61.4</v>
      </c>
      <c r="O212" s="11" t="str">
        <f>LOOKUP(N212,Settings!$A$10:$A$14,Settings!$B$10:$B$14)</f>
        <v>C</v>
      </c>
      <c r="P212" s="11" t="str">
        <f>IF(N212&gt;=Settings!$B$3,"Pass","Fail")</f>
        <v>Pass</v>
      </c>
      <c r="Q212" s="11" t="str">
        <f>LOOKUP(D212,Settings!$A$19:$A$23,Settings!$B$19:$B$23)</f>
        <v>10 to 14 hrs</v>
      </c>
      <c r="R212" s="11" t="str">
        <f>LOOKUP(E212,Settings!$A$28:$A$31,Settings!$B$28:$B$31)</f>
        <v>75 to 84%</v>
      </c>
      <c r="S212" s="11" t="str">
        <f>IF(OR(N212&lt;Settings!$B$4,E212&lt;Settings!$B$5),"Yes","No")</f>
        <v>No</v>
      </c>
      <c r="T212" s="11">
        <f>RANK(N212,$N$2:$N$301,0)+COUNTIF($N$2:N212,N212)-1</f>
        <v>163</v>
      </c>
    </row>
    <row r="213" spans="1:20" x14ac:dyDescent="0.3">
      <c r="A213" s="24" t="s">
        <v>319</v>
      </c>
      <c r="B213" s="24" t="s">
        <v>46</v>
      </c>
      <c r="C213" s="24" t="s">
        <v>59</v>
      </c>
      <c r="D213" s="25">
        <v>4</v>
      </c>
      <c r="E213" s="24">
        <v>81</v>
      </c>
      <c r="F213" s="24" t="s">
        <v>62</v>
      </c>
      <c r="G213" s="24" t="s">
        <v>67</v>
      </c>
      <c r="H213" s="24" t="s">
        <v>68</v>
      </c>
      <c r="I213" s="24">
        <v>49</v>
      </c>
      <c r="J213" s="24">
        <v>38</v>
      </c>
      <c r="K213" s="24">
        <v>47</v>
      </c>
      <c r="L213" s="24">
        <v>42</v>
      </c>
      <c r="M213" s="24">
        <v>37</v>
      </c>
      <c r="N213" s="26">
        <f t="shared" si="3"/>
        <v>42.6</v>
      </c>
      <c r="O213" s="11" t="str">
        <f>LOOKUP(N213,Settings!$A$10:$A$14,Settings!$B$10:$B$14)</f>
        <v>F</v>
      </c>
      <c r="P213" s="11" t="str">
        <f>IF(N213&gt;=Settings!$B$3,"Pass","Fail")</f>
        <v>Fail</v>
      </c>
      <c r="Q213" s="11" t="str">
        <f>LOOKUP(D213,Settings!$A$19:$A$23,Settings!$B$19:$B$23)</f>
        <v>0 to 4 hrs</v>
      </c>
      <c r="R213" s="11" t="str">
        <f>LOOKUP(E213,Settings!$A$28:$A$31,Settings!$B$28:$B$31)</f>
        <v>75 to 84%</v>
      </c>
      <c r="S213" s="11" t="str">
        <f>IF(OR(N213&lt;Settings!$B$4,E213&lt;Settings!$B$5),"Yes","No")</f>
        <v>Yes</v>
      </c>
      <c r="T213" s="11">
        <f>RANK(N213,$N$2:$N$301,0)+COUNTIF($N$2:N213,N213)-1</f>
        <v>294</v>
      </c>
    </row>
    <row r="214" spans="1:20" x14ac:dyDescent="0.3">
      <c r="A214" s="24" t="s">
        <v>320</v>
      </c>
      <c r="B214" s="24" t="s">
        <v>45</v>
      </c>
      <c r="C214" s="24" t="s">
        <v>57</v>
      </c>
      <c r="D214" s="25">
        <v>12.7</v>
      </c>
      <c r="E214" s="24">
        <v>87</v>
      </c>
      <c r="F214" s="24" t="s">
        <v>64</v>
      </c>
      <c r="G214" s="24" t="s">
        <v>67</v>
      </c>
      <c r="H214" s="24" t="s">
        <v>68</v>
      </c>
      <c r="I214" s="24">
        <v>78</v>
      </c>
      <c r="J214" s="24">
        <v>66</v>
      </c>
      <c r="K214" s="24">
        <v>75</v>
      </c>
      <c r="L214" s="24">
        <v>78</v>
      </c>
      <c r="M214" s="24">
        <v>72</v>
      </c>
      <c r="N214" s="26">
        <f t="shared" si="3"/>
        <v>73.8</v>
      </c>
      <c r="O214" s="11" t="str">
        <f>LOOKUP(N214,Settings!$A$10:$A$14,Settings!$B$10:$B$14)</f>
        <v>B</v>
      </c>
      <c r="P214" s="11" t="str">
        <f>IF(N214&gt;=Settings!$B$3,"Pass","Fail")</f>
        <v>Pass</v>
      </c>
      <c r="Q214" s="11" t="str">
        <f>LOOKUP(D214,Settings!$A$19:$A$23,Settings!$B$19:$B$23)</f>
        <v>10 to 14 hrs</v>
      </c>
      <c r="R214" s="11" t="str">
        <f>LOOKUP(E214,Settings!$A$28:$A$31,Settings!$B$28:$B$31)</f>
        <v>85 to 94%</v>
      </c>
      <c r="S214" s="11" t="str">
        <f>IF(OR(N214&lt;Settings!$B$4,E214&lt;Settings!$B$5),"Yes","No")</f>
        <v>No</v>
      </c>
      <c r="T214" s="11">
        <f>RANK(N214,$N$2:$N$301,0)+COUNTIF($N$2:N214,N214)-1</f>
        <v>29</v>
      </c>
    </row>
    <row r="215" spans="1:20" x14ac:dyDescent="0.3">
      <c r="A215" s="24" t="s">
        <v>321</v>
      </c>
      <c r="B215" s="24" t="s">
        <v>46</v>
      </c>
      <c r="C215" s="24" t="s">
        <v>57</v>
      </c>
      <c r="D215" s="25">
        <v>14.3</v>
      </c>
      <c r="E215" s="24">
        <v>100</v>
      </c>
      <c r="F215" s="24" t="s">
        <v>63</v>
      </c>
      <c r="G215" s="24" t="s">
        <v>68</v>
      </c>
      <c r="H215" s="24" t="s">
        <v>68</v>
      </c>
      <c r="I215" s="24">
        <v>75</v>
      </c>
      <c r="J215" s="24">
        <v>59</v>
      </c>
      <c r="K215" s="24">
        <v>72</v>
      </c>
      <c r="L215" s="24">
        <v>75</v>
      </c>
      <c r="M215" s="24">
        <v>75</v>
      </c>
      <c r="N215" s="26">
        <f t="shared" si="3"/>
        <v>71.2</v>
      </c>
      <c r="O215" s="11" t="str">
        <f>LOOKUP(N215,Settings!$A$10:$A$14,Settings!$B$10:$B$14)</f>
        <v>B</v>
      </c>
      <c r="P215" s="11" t="str">
        <f>IF(N215&gt;=Settings!$B$3,"Pass","Fail")</f>
        <v>Pass</v>
      </c>
      <c r="Q215" s="11" t="str">
        <f>LOOKUP(D215,Settings!$A$19:$A$23,Settings!$B$19:$B$23)</f>
        <v>10 to 14 hrs</v>
      </c>
      <c r="R215" s="11" t="str">
        <f>LOOKUP(E215,Settings!$A$28:$A$31,Settings!$B$28:$B$31)</f>
        <v>95 to 100%</v>
      </c>
      <c r="S215" s="11" t="str">
        <f>IF(OR(N215&lt;Settings!$B$4,E215&lt;Settings!$B$5),"Yes","No")</f>
        <v>No</v>
      </c>
      <c r="T215" s="11">
        <f>RANK(N215,$N$2:$N$301,0)+COUNTIF($N$2:N215,N215)-1</f>
        <v>43</v>
      </c>
    </row>
    <row r="216" spans="1:20" x14ac:dyDescent="0.3">
      <c r="A216" s="24" t="s">
        <v>322</v>
      </c>
      <c r="B216" s="24" t="s">
        <v>46</v>
      </c>
      <c r="C216" s="24" t="s">
        <v>57</v>
      </c>
      <c r="D216" s="25">
        <v>10.9</v>
      </c>
      <c r="E216" s="24">
        <v>75</v>
      </c>
      <c r="F216" s="24" t="s">
        <v>62</v>
      </c>
      <c r="G216" s="24" t="s">
        <v>68</v>
      </c>
      <c r="H216" s="24" t="s">
        <v>67</v>
      </c>
      <c r="I216" s="24">
        <v>56</v>
      </c>
      <c r="J216" s="24">
        <v>54</v>
      </c>
      <c r="K216" s="24">
        <v>59</v>
      </c>
      <c r="L216" s="24">
        <v>47</v>
      </c>
      <c r="M216" s="24">
        <v>61</v>
      </c>
      <c r="N216" s="26">
        <f t="shared" si="3"/>
        <v>55.4</v>
      </c>
      <c r="O216" s="11" t="str">
        <f>LOOKUP(N216,Settings!$A$10:$A$14,Settings!$B$10:$B$14)</f>
        <v>D</v>
      </c>
      <c r="P216" s="11" t="str">
        <f>IF(N216&gt;=Settings!$B$3,"Pass","Fail")</f>
        <v>Pass</v>
      </c>
      <c r="Q216" s="11" t="str">
        <f>LOOKUP(D216,Settings!$A$19:$A$23,Settings!$B$19:$B$23)</f>
        <v>10 to 14 hrs</v>
      </c>
      <c r="R216" s="11" t="str">
        <f>LOOKUP(E216,Settings!$A$28:$A$31,Settings!$B$28:$B$31)</f>
        <v>75 to 84%</v>
      </c>
      <c r="S216" s="11" t="str">
        <f>IF(OR(N216&lt;Settings!$B$4,E216&lt;Settings!$B$5),"Yes","No")</f>
        <v>No</v>
      </c>
      <c r="T216" s="11">
        <f>RANK(N216,$N$2:$N$301,0)+COUNTIF($N$2:N216,N216)-1</f>
        <v>224</v>
      </c>
    </row>
    <row r="217" spans="1:20" x14ac:dyDescent="0.3">
      <c r="A217" s="24" t="s">
        <v>323</v>
      </c>
      <c r="B217" s="24" t="s">
        <v>46</v>
      </c>
      <c r="C217" s="24" t="s">
        <v>57</v>
      </c>
      <c r="D217" s="25">
        <v>3.9</v>
      </c>
      <c r="E217" s="24">
        <v>90</v>
      </c>
      <c r="F217" s="24" t="s">
        <v>64</v>
      </c>
      <c r="G217" s="24" t="s">
        <v>67</v>
      </c>
      <c r="H217" s="24" t="s">
        <v>68</v>
      </c>
      <c r="I217" s="24">
        <v>45</v>
      </c>
      <c r="J217" s="24">
        <v>26</v>
      </c>
      <c r="K217" s="24">
        <v>30</v>
      </c>
      <c r="L217" s="24">
        <v>45</v>
      </c>
      <c r="M217" s="24">
        <v>37</v>
      </c>
      <c r="N217" s="26">
        <f t="shared" si="3"/>
        <v>36.6</v>
      </c>
      <c r="O217" s="11" t="str">
        <f>LOOKUP(N217,Settings!$A$10:$A$14,Settings!$B$10:$B$14)</f>
        <v>F</v>
      </c>
      <c r="P217" s="11" t="str">
        <f>IF(N217&gt;=Settings!$B$3,"Pass","Fail")</f>
        <v>Fail</v>
      </c>
      <c r="Q217" s="11" t="str">
        <f>LOOKUP(D217,Settings!$A$19:$A$23,Settings!$B$19:$B$23)</f>
        <v>0 to 4 hrs</v>
      </c>
      <c r="R217" s="11" t="str">
        <f>LOOKUP(E217,Settings!$A$28:$A$31,Settings!$B$28:$B$31)</f>
        <v>85 to 94%</v>
      </c>
      <c r="S217" s="11" t="str">
        <f>IF(OR(N217&lt;Settings!$B$4,E217&lt;Settings!$B$5),"Yes","No")</f>
        <v>Yes</v>
      </c>
      <c r="T217" s="11">
        <f>RANK(N217,$N$2:$N$301,0)+COUNTIF($N$2:N217,N217)-1</f>
        <v>299</v>
      </c>
    </row>
    <row r="218" spans="1:20" x14ac:dyDescent="0.3">
      <c r="A218" s="24" t="s">
        <v>324</v>
      </c>
      <c r="B218" s="24" t="s">
        <v>45</v>
      </c>
      <c r="C218" s="24" t="s">
        <v>57</v>
      </c>
      <c r="D218" s="25">
        <v>16.899999999999999</v>
      </c>
      <c r="E218" s="24">
        <v>72</v>
      </c>
      <c r="F218" s="24" t="s">
        <v>64</v>
      </c>
      <c r="G218" s="24" t="s">
        <v>67</v>
      </c>
      <c r="H218" s="24" t="s">
        <v>68</v>
      </c>
      <c r="I218" s="24">
        <v>55</v>
      </c>
      <c r="J218" s="24">
        <v>56</v>
      </c>
      <c r="K218" s="24">
        <v>66</v>
      </c>
      <c r="L218" s="24">
        <v>50</v>
      </c>
      <c r="M218" s="24">
        <v>55</v>
      </c>
      <c r="N218" s="26">
        <f t="shared" si="3"/>
        <v>56.4</v>
      </c>
      <c r="O218" s="11" t="str">
        <f>LOOKUP(N218,Settings!$A$10:$A$14,Settings!$B$10:$B$14)</f>
        <v>D</v>
      </c>
      <c r="P218" s="11" t="str">
        <f>IF(N218&gt;=Settings!$B$3,"Pass","Fail")</f>
        <v>Pass</v>
      </c>
      <c r="Q218" s="11" t="str">
        <f>LOOKUP(D218,Settings!$A$19:$A$23,Settings!$B$19:$B$23)</f>
        <v>15 to 19 hrs</v>
      </c>
      <c r="R218" s="11" t="str">
        <f>LOOKUP(E218,Settings!$A$28:$A$31,Settings!$B$28:$B$31)</f>
        <v>Below 75%</v>
      </c>
      <c r="S218" s="11" t="str">
        <f>IF(OR(N218&lt;Settings!$B$4,E218&lt;Settings!$B$5),"Yes","No")</f>
        <v>Yes</v>
      </c>
      <c r="T218" s="11">
        <f>RANK(N218,$N$2:$N$301,0)+COUNTIF($N$2:N218,N218)-1</f>
        <v>212</v>
      </c>
    </row>
    <row r="219" spans="1:20" x14ac:dyDescent="0.3">
      <c r="A219" s="24" t="s">
        <v>325</v>
      </c>
      <c r="B219" s="24" t="s">
        <v>45</v>
      </c>
      <c r="C219" s="24" t="s">
        <v>59</v>
      </c>
      <c r="D219" s="25">
        <v>13.8</v>
      </c>
      <c r="E219" s="24">
        <v>88</v>
      </c>
      <c r="F219" s="24" t="s">
        <v>63</v>
      </c>
      <c r="G219" s="24" t="s">
        <v>68</v>
      </c>
      <c r="H219" s="24" t="s">
        <v>68</v>
      </c>
      <c r="I219" s="24">
        <v>65</v>
      </c>
      <c r="J219" s="24">
        <v>71</v>
      </c>
      <c r="K219" s="24">
        <v>73</v>
      </c>
      <c r="L219" s="24">
        <v>72</v>
      </c>
      <c r="M219" s="24">
        <v>73</v>
      </c>
      <c r="N219" s="26">
        <f t="shared" si="3"/>
        <v>70.8</v>
      </c>
      <c r="O219" s="11" t="str">
        <f>LOOKUP(N219,Settings!$A$10:$A$14,Settings!$B$10:$B$14)</f>
        <v>B</v>
      </c>
      <c r="P219" s="11" t="str">
        <f>IF(N219&gt;=Settings!$B$3,"Pass","Fail")</f>
        <v>Pass</v>
      </c>
      <c r="Q219" s="11" t="str">
        <f>LOOKUP(D219,Settings!$A$19:$A$23,Settings!$B$19:$B$23)</f>
        <v>10 to 14 hrs</v>
      </c>
      <c r="R219" s="11" t="str">
        <f>LOOKUP(E219,Settings!$A$28:$A$31,Settings!$B$28:$B$31)</f>
        <v>85 to 94%</v>
      </c>
      <c r="S219" s="11" t="str">
        <f>IF(OR(N219&lt;Settings!$B$4,E219&lt;Settings!$B$5),"Yes","No")</f>
        <v>No</v>
      </c>
      <c r="T219" s="11">
        <f>RANK(N219,$N$2:$N$301,0)+COUNTIF($N$2:N219,N219)-1</f>
        <v>51</v>
      </c>
    </row>
    <row r="220" spans="1:20" x14ac:dyDescent="0.3">
      <c r="A220" s="24" t="s">
        <v>326</v>
      </c>
      <c r="B220" s="24" t="s">
        <v>46</v>
      </c>
      <c r="C220" s="24" t="s">
        <v>57</v>
      </c>
      <c r="D220" s="25">
        <v>8.4</v>
      </c>
      <c r="E220" s="24">
        <v>98</v>
      </c>
      <c r="F220" s="24" t="s">
        <v>63</v>
      </c>
      <c r="G220" s="24" t="s">
        <v>67</v>
      </c>
      <c r="H220" s="24" t="s">
        <v>68</v>
      </c>
      <c r="I220" s="24">
        <v>69</v>
      </c>
      <c r="J220" s="24">
        <v>53</v>
      </c>
      <c r="K220" s="24">
        <v>63</v>
      </c>
      <c r="L220" s="24">
        <v>66</v>
      </c>
      <c r="M220" s="24">
        <v>60</v>
      </c>
      <c r="N220" s="26">
        <f t="shared" si="3"/>
        <v>62.2</v>
      </c>
      <c r="O220" s="11" t="str">
        <f>LOOKUP(N220,Settings!$A$10:$A$14,Settings!$B$10:$B$14)</f>
        <v>C</v>
      </c>
      <c r="P220" s="11" t="str">
        <f>IF(N220&gt;=Settings!$B$3,"Pass","Fail")</f>
        <v>Pass</v>
      </c>
      <c r="Q220" s="11" t="str">
        <f>LOOKUP(D220,Settings!$A$19:$A$23,Settings!$B$19:$B$23)</f>
        <v>5 to 9 hrs</v>
      </c>
      <c r="R220" s="11" t="str">
        <f>LOOKUP(E220,Settings!$A$28:$A$31,Settings!$B$28:$B$31)</f>
        <v>95 to 100%</v>
      </c>
      <c r="S220" s="11" t="str">
        <f>IF(OR(N220&lt;Settings!$B$4,E220&lt;Settings!$B$5),"Yes","No")</f>
        <v>No</v>
      </c>
      <c r="T220" s="11">
        <f>RANK(N220,$N$2:$N$301,0)+COUNTIF($N$2:N220,N220)-1</f>
        <v>148</v>
      </c>
    </row>
    <row r="221" spans="1:20" x14ac:dyDescent="0.3">
      <c r="A221" s="24" t="s">
        <v>327</v>
      </c>
      <c r="B221" s="24" t="s">
        <v>45</v>
      </c>
      <c r="C221" s="24" t="s">
        <v>59</v>
      </c>
      <c r="D221" s="25">
        <v>10.6</v>
      </c>
      <c r="E221" s="24">
        <v>89</v>
      </c>
      <c r="F221" s="24" t="s">
        <v>62</v>
      </c>
      <c r="G221" s="24" t="s">
        <v>68</v>
      </c>
      <c r="H221" s="24" t="s">
        <v>68</v>
      </c>
      <c r="I221" s="24">
        <v>54</v>
      </c>
      <c r="J221" s="24">
        <v>52</v>
      </c>
      <c r="K221" s="24">
        <v>49</v>
      </c>
      <c r="L221" s="24">
        <v>48</v>
      </c>
      <c r="M221" s="24">
        <v>34</v>
      </c>
      <c r="N221" s="26">
        <f t="shared" si="3"/>
        <v>47.4</v>
      </c>
      <c r="O221" s="11" t="str">
        <f>LOOKUP(N221,Settings!$A$10:$A$14,Settings!$B$10:$B$14)</f>
        <v>F</v>
      </c>
      <c r="P221" s="11" t="str">
        <f>IF(N221&gt;=Settings!$B$3,"Pass","Fail")</f>
        <v>Fail</v>
      </c>
      <c r="Q221" s="11" t="str">
        <f>LOOKUP(D221,Settings!$A$19:$A$23,Settings!$B$19:$B$23)</f>
        <v>10 to 14 hrs</v>
      </c>
      <c r="R221" s="11" t="str">
        <f>LOOKUP(E221,Settings!$A$28:$A$31,Settings!$B$28:$B$31)</f>
        <v>85 to 94%</v>
      </c>
      <c r="S221" s="11" t="str">
        <f>IF(OR(N221&lt;Settings!$B$4,E221&lt;Settings!$B$5),"Yes","No")</f>
        <v>Yes</v>
      </c>
      <c r="T221" s="11">
        <f>RANK(N221,$N$2:$N$301,0)+COUNTIF($N$2:N221,N221)-1</f>
        <v>279</v>
      </c>
    </row>
    <row r="222" spans="1:20" x14ac:dyDescent="0.3">
      <c r="A222" s="24" t="s">
        <v>328</v>
      </c>
      <c r="B222" s="24" t="s">
        <v>45</v>
      </c>
      <c r="C222" s="24" t="s">
        <v>59</v>
      </c>
      <c r="D222" s="25">
        <v>4.5</v>
      </c>
      <c r="E222" s="24">
        <v>85</v>
      </c>
      <c r="F222" s="24" t="s">
        <v>62</v>
      </c>
      <c r="G222" s="24" t="s">
        <v>67</v>
      </c>
      <c r="H222" s="24" t="s">
        <v>68</v>
      </c>
      <c r="I222" s="24">
        <v>50</v>
      </c>
      <c r="J222" s="24">
        <v>61</v>
      </c>
      <c r="K222" s="24">
        <v>50</v>
      </c>
      <c r="L222" s="24">
        <v>55</v>
      </c>
      <c r="M222" s="24">
        <v>58</v>
      </c>
      <c r="N222" s="26">
        <f t="shared" si="3"/>
        <v>54.8</v>
      </c>
      <c r="O222" s="11" t="str">
        <f>LOOKUP(N222,Settings!$A$10:$A$14,Settings!$B$10:$B$14)</f>
        <v>D</v>
      </c>
      <c r="P222" s="11" t="str">
        <f>IF(N222&gt;=Settings!$B$3,"Pass","Fail")</f>
        <v>Pass</v>
      </c>
      <c r="Q222" s="11" t="str">
        <f>LOOKUP(D222,Settings!$A$19:$A$23,Settings!$B$19:$B$23)</f>
        <v>0 to 4 hrs</v>
      </c>
      <c r="R222" s="11" t="str">
        <f>LOOKUP(E222,Settings!$A$28:$A$31,Settings!$B$28:$B$31)</f>
        <v>85 to 94%</v>
      </c>
      <c r="S222" s="11" t="str">
        <f>IF(OR(N222&lt;Settings!$B$4,E222&lt;Settings!$B$5),"Yes","No")</f>
        <v>Yes</v>
      </c>
      <c r="T222" s="11">
        <f>RANK(N222,$N$2:$N$301,0)+COUNTIF($N$2:N222,N222)-1</f>
        <v>228</v>
      </c>
    </row>
    <row r="223" spans="1:20" x14ac:dyDescent="0.3">
      <c r="A223" s="24" t="s">
        <v>329</v>
      </c>
      <c r="B223" s="24" t="s">
        <v>45</v>
      </c>
      <c r="C223" s="24" t="s">
        <v>58</v>
      </c>
      <c r="D223" s="25">
        <v>6.9</v>
      </c>
      <c r="E223" s="24">
        <v>80</v>
      </c>
      <c r="F223" s="24" t="s">
        <v>63</v>
      </c>
      <c r="G223" s="24" t="s">
        <v>67</v>
      </c>
      <c r="H223" s="24" t="s">
        <v>68</v>
      </c>
      <c r="I223" s="24">
        <v>59</v>
      </c>
      <c r="J223" s="24">
        <v>62</v>
      </c>
      <c r="K223" s="24">
        <v>45</v>
      </c>
      <c r="L223" s="24">
        <v>61</v>
      </c>
      <c r="M223" s="24">
        <v>43</v>
      </c>
      <c r="N223" s="26">
        <f t="shared" si="3"/>
        <v>54</v>
      </c>
      <c r="O223" s="11" t="str">
        <f>LOOKUP(N223,Settings!$A$10:$A$14,Settings!$B$10:$B$14)</f>
        <v>D</v>
      </c>
      <c r="P223" s="11" t="str">
        <f>IF(N223&gt;=Settings!$B$3,"Pass","Fail")</f>
        <v>Pass</v>
      </c>
      <c r="Q223" s="11" t="str">
        <f>LOOKUP(D223,Settings!$A$19:$A$23,Settings!$B$19:$B$23)</f>
        <v>5 to 9 hrs</v>
      </c>
      <c r="R223" s="11" t="str">
        <f>LOOKUP(E223,Settings!$A$28:$A$31,Settings!$B$28:$B$31)</f>
        <v>75 to 84%</v>
      </c>
      <c r="S223" s="11" t="str">
        <f>IF(OR(N223&lt;Settings!$B$4,E223&lt;Settings!$B$5),"Yes","No")</f>
        <v>Yes</v>
      </c>
      <c r="T223" s="11">
        <f>RANK(N223,$N$2:$N$301,0)+COUNTIF($N$2:N223,N223)-1</f>
        <v>234</v>
      </c>
    </row>
    <row r="224" spans="1:20" x14ac:dyDescent="0.3">
      <c r="A224" s="24" t="s">
        <v>330</v>
      </c>
      <c r="B224" s="24" t="s">
        <v>46</v>
      </c>
      <c r="C224" s="24" t="s">
        <v>57</v>
      </c>
      <c r="D224" s="25">
        <v>9.3000000000000007</v>
      </c>
      <c r="E224" s="24">
        <v>85</v>
      </c>
      <c r="F224" s="24" t="s">
        <v>62</v>
      </c>
      <c r="G224" s="24" t="s">
        <v>68</v>
      </c>
      <c r="H224" s="24" t="s">
        <v>68</v>
      </c>
      <c r="I224" s="24">
        <v>61</v>
      </c>
      <c r="J224" s="24">
        <v>62</v>
      </c>
      <c r="K224" s="24">
        <v>55</v>
      </c>
      <c r="L224" s="24">
        <v>66</v>
      </c>
      <c r="M224" s="24">
        <v>54</v>
      </c>
      <c r="N224" s="26">
        <f t="shared" si="3"/>
        <v>59.6</v>
      </c>
      <c r="O224" s="11" t="str">
        <f>LOOKUP(N224,Settings!$A$10:$A$14,Settings!$B$10:$B$14)</f>
        <v>D</v>
      </c>
      <c r="P224" s="11" t="str">
        <f>IF(N224&gt;=Settings!$B$3,"Pass","Fail")</f>
        <v>Pass</v>
      </c>
      <c r="Q224" s="11" t="str">
        <f>LOOKUP(D224,Settings!$A$19:$A$23,Settings!$B$19:$B$23)</f>
        <v>5 to 9 hrs</v>
      </c>
      <c r="R224" s="11" t="str">
        <f>LOOKUP(E224,Settings!$A$28:$A$31,Settings!$B$28:$B$31)</f>
        <v>85 to 94%</v>
      </c>
      <c r="S224" s="11" t="str">
        <f>IF(OR(N224&lt;Settings!$B$4,E224&lt;Settings!$B$5),"Yes","No")</f>
        <v>No</v>
      </c>
      <c r="T224" s="11">
        <f>RANK(N224,$N$2:$N$301,0)+COUNTIF($N$2:N224,N224)-1</f>
        <v>183</v>
      </c>
    </row>
    <row r="225" spans="1:20" x14ac:dyDescent="0.3">
      <c r="A225" s="24" t="s">
        <v>331</v>
      </c>
      <c r="B225" s="24" t="s">
        <v>46</v>
      </c>
      <c r="C225" s="24" t="s">
        <v>58</v>
      </c>
      <c r="D225" s="25">
        <v>18.100000000000001</v>
      </c>
      <c r="E225" s="24">
        <v>86</v>
      </c>
      <c r="F225" s="24" t="s">
        <v>63</v>
      </c>
      <c r="G225" s="24" t="s">
        <v>67</v>
      </c>
      <c r="H225" s="24" t="s">
        <v>67</v>
      </c>
      <c r="I225" s="24">
        <v>77</v>
      </c>
      <c r="J225" s="24">
        <v>78</v>
      </c>
      <c r="K225" s="24">
        <v>76</v>
      </c>
      <c r="L225" s="24">
        <v>81</v>
      </c>
      <c r="M225" s="24">
        <v>83</v>
      </c>
      <c r="N225" s="26">
        <f t="shared" si="3"/>
        <v>79</v>
      </c>
      <c r="O225" s="11" t="str">
        <f>LOOKUP(N225,Settings!$A$10:$A$14,Settings!$B$10:$B$14)</f>
        <v>B</v>
      </c>
      <c r="P225" s="11" t="str">
        <f>IF(N225&gt;=Settings!$B$3,"Pass","Fail")</f>
        <v>Pass</v>
      </c>
      <c r="Q225" s="11" t="str">
        <f>LOOKUP(D225,Settings!$A$19:$A$23,Settings!$B$19:$B$23)</f>
        <v>15 to 19 hrs</v>
      </c>
      <c r="R225" s="11" t="str">
        <f>LOOKUP(E225,Settings!$A$28:$A$31,Settings!$B$28:$B$31)</f>
        <v>85 to 94%</v>
      </c>
      <c r="S225" s="11" t="str">
        <f>IF(OR(N225&lt;Settings!$B$4,E225&lt;Settings!$B$5),"Yes","No")</f>
        <v>No</v>
      </c>
      <c r="T225" s="11">
        <f>RANK(N225,$N$2:$N$301,0)+COUNTIF($N$2:N225,N225)-1</f>
        <v>5</v>
      </c>
    </row>
    <row r="226" spans="1:20" x14ac:dyDescent="0.3">
      <c r="A226" s="24" t="s">
        <v>332</v>
      </c>
      <c r="B226" s="24" t="s">
        <v>45</v>
      </c>
      <c r="C226" s="24" t="s">
        <v>57</v>
      </c>
      <c r="D226" s="25">
        <v>8.8000000000000007</v>
      </c>
      <c r="E226" s="24">
        <v>79</v>
      </c>
      <c r="F226" s="24" t="s">
        <v>64</v>
      </c>
      <c r="G226" s="24" t="s">
        <v>67</v>
      </c>
      <c r="H226" s="24" t="s">
        <v>67</v>
      </c>
      <c r="I226" s="24">
        <v>64</v>
      </c>
      <c r="J226" s="24">
        <v>65</v>
      </c>
      <c r="K226" s="24">
        <v>66</v>
      </c>
      <c r="L226" s="24">
        <v>69</v>
      </c>
      <c r="M226" s="24">
        <v>73</v>
      </c>
      <c r="N226" s="26">
        <f t="shared" si="3"/>
        <v>67.400000000000006</v>
      </c>
      <c r="O226" s="11" t="str">
        <f>LOOKUP(N226,Settings!$A$10:$A$14,Settings!$B$10:$B$14)</f>
        <v>C</v>
      </c>
      <c r="P226" s="11" t="str">
        <f>IF(N226&gt;=Settings!$B$3,"Pass","Fail")</f>
        <v>Pass</v>
      </c>
      <c r="Q226" s="11" t="str">
        <f>LOOKUP(D226,Settings!$A$19:$A$23,Settings!$B$19:$B$23)</f>
        <v>5 to 9 hrs</v>
      </c>
      <c r="R226" s="11" t="str">
        <f>LOOKUP(E226,Settings!$A$28:$A$31,Settings!$B$28:$B$31)</f>
        <v>75 to 84%</v>
      </c>
      <c r="S226" s="11" t="str">
        <f>IF(OR(N226&lt;Settings!$B$4,E226&lt;Settings!$B$5),"Yes","No")</f>
        <v>No</v>
      </c>
      <c r="T226" s="11">
        <f>RANK(N226,$N$2:$N$301,0)+COUNTIF($N$2:N226,N226)-1</f>
        <v>84</v>
      </c>
    </row>
    <row r="227" spans="1:20" x14ac:dyDescent="0.3">
      <c r="A227" s="24" t="s">
        <v>333</v>
      </c>
      <c r="B227" s="24" t="s">
        <v>46</v>
      </c>
      <c r="C227" s="24" t="s">
        <v>58</v>
      </c>
      <c r="D227" s="25">
        <v>15.2</v>
      </c>
      <c r="E227" s="24">
        <v>85</v>
      </c>
      <c r="F227" s="24" t="s">
        <v>62</v>
      </c>
      <c r="G227" s="24" t="s">
        <v>67</v>
      </c>
      <c r="H227" s="24" t="s">
        <v>67</v>
      </c>
      <c r="I227" s="24">
        <v>75</v>
      </c>
      <c r="J227" s="24">
        <v>68</v>
      </c>
      <c r="K227" s="24">
        <v>59</v>
      </c>
      <c r="L227" s="24">
        <v>74</v>
      </c>
      <c r="M227" s="24">
        <v>61</v>
      </c>
      <c r="N227" s="26">
        <f t="shared" si="3"/>
        <v>67.400000000000006</v>
      </c>
      <c r="O227" s="11" t="str">
        <f>LOOKUP(N227,Settings!$A$10:$A$14,Settings!$B$10:$B$14)</f>
        <v>C</v>
      </c>
      <c r="P227" s="11" t="str">
        <f>IF(N227&gt;=Settings!$B$3,"Pass","Fail")</f>
        <v>Pass</v>
      </c>
      <c r="Q227" s="11" t="str">
        <f>LOOKUP(D227,Settings!$A$19:$A$23,Settings!$B$19:$B$23)</f>
        <v>15 to 19 hrs</v>
      </c>
      <c r="R227" s="11" t="str">
        <f>LOOKUP(E227,Settings!$A$28:$A$31,Settings!$B$28:$B$31)</f>
        <v>85 to 94%</v>
      </c>
      <c r="S227" s="11" t="str">
        <f>IF(OR(N227&lt;Settings!$B$4,E227&lt;Settings!$B$5),"Yes","No")</f>
        <v>No</v>
      </c>
      <c r="T227" s="11">
        <f>RANK(N227,$N$2:$N$301,0)+COUNTIF($N$2:N227,N227)-1</f>
        <v>85</v>
      </c>
    </row>
    <row r="228" spans="1:20" x14ac:dyDescent="0.3">
      <c r="A228" s="24" t="s">
        <v>334</v>
      </c>
      <c r="B228" s="24" t="s">
        <v>45</v>
      </c>
      <c r="C228" s="24" t="s">
        <v>59</v>
      </c>
      <c r="D228" s="25">
        <v>9.3000000000000007</v>
      </c>
      <c r="E228" s="24">
        <v>87</v>
      </c>
      <c r="F228" s="24" t="s">
        <v>63</v>
      </c>
      <c r="G228" s="24" t="s">
        <v>67</v>
      </c>
      <c r="H228" s="24" t="s">
        <v>67</v>
      </c>
      <c r="I228" s="24">
        <v>63</v>
      </c>
      <c r="J228" s="24">
        <v>69</v>
      </c>
      <c r="K228" s="24">
        <v>58</v>
      </c>
      <c r="L228" s="24">
        <v>70</v>
      </c>
      <c r="M228" s="24">
        <v>61</v>
      </c>
      <c r="N228" s="26">
        <f t="shared" si="3"/>
        <v>64.2</v>
      </c>
      <c r="O228" s="11" t="str">
        <f>LOOKUP(N228,Settings!$A$10:$A$14,Settings!$B$10:$B$14)</f>
        <v>C</v>
      </c>
      <c r="P228" s="11" t="str">
        <f>IF(N228&gt;=Settings!$B$3,"Pass","Fail")</f>
        <v>Pass</v>
      </c>
      <c r="Q228" s="11" t="str">
        <f>LOOKUP(D228,Settings!$A$19:$A$23,Settings!$B$19:$B$23)</f>
        <v>5 to 9 hrs</v>
      </c>
      <c r="R228" s="11" t="str">
        <f>LOOKUP(E228,Settings!$A$28:$A$31,Settings!$B$28:$B$31)</f>
        <v>85 to 94%</v>
      </c>
      <c r="S228" s="11" t="str">
        <f>IF(OR(N228&lt;Settings!$B$4,E228&lt;Settings!$B$5),"Yes","No")</f>
        <v>No</v>
      </c>
      <c r="T228" s="11">
        <f>RANK(N228,$N$2:$N$301,0)+COUNTIF($N$2:N228,N228)-1</f>
        <v>128</v>
      </c>
    </row>
    <row r="229" spans="1:20" x14ac:dyDescent="0.3">
      <c r="A229" s="24" t="s">
        <v>335</v>
      </c>
      <c r="B229" s="24" t="s">
        <v>46</v>
      </c>
      <c r="C229" s="24" t="s">
        <v>59</v>
      </c>
      <c r="D229" s="25">
        <v>13.2</v>
      </c>
      <c r="E229" s="24">
        <v>80</v>
      </c>
      <c r="F229" s="24" t="s">
        <v>62</v>
      </c>
      <c r="G229" s="24" t="s">
        <v>68</v>
      </c>
      <c r="H229" s="24" t="s">
        <v>67</v>
      </c>
      <c r="I229" s="24">
        <v>80</v>
      </c>
      <c r="J229" s="24">
        <v>69</v>
      </c>
      <c r="K229" s="24">
        <v>65</v>
      </c>
      <c r="L229" s="24">
        <v>72</v>
      </c>
      <c r="M229" s="24">
        <v>70</v>
      </c>
      <c r="N229" s="26">
        <f t="shared" si="3"/>
        <v>71.2</v>
      </c>
      <c r="O229" s="11" t="str">
        <f>LOOKUP(N229,Settings!$A$10:$A$14,Settings!$B$10:$B$14)</f>
        <v>B</v>
      </c>
      <c r="P229" s="11" t="str">
        <f>IF(N229&gt;=Settings!$B$3,"Pass","Fail")</f>
        <v>Pass</v>
      </c>
      <c r="Q229" s="11" t="str">
        <f>LOOKUP(D229,Settings!$A$19:$A$23,Settings!$B$19:$B$23)</f>
        <v>10 to 14 hrs</v>
      </c>
      <c r="R229" s="11" t="str">
        <f>LOOKUP(E229,Settings!$A$28:$A$31,Settings!$B$28:$B$31)</f>
        <v>75 to 84%</v>
      </c>
      <c r="S229" s="11" t="str">
        <f>IF(OR(N229&lt;Settings!$B$4,E229&lt;Settings!$B$5),"Yes","No")</f>
        <v>No</v>
      </c>
      <c r="T229" s="11">
        <f>RANK(N229,$N$2:$N$301,0)+COUNTIF($N$2:N229,N229)-1</f>
        <v>44</v>
      </c>
    </row>
    <row r="230" spans="1:20" x14ac:dyDescent="0.3">
      <c r="A230" s="24" t="s">
        <v>336</v>
      </c>
      <c r="B230" s="24" t="s">
        <v>46</v>
      </c>
      <c r="C230" s="24" t="s">
        <v>59</v>
      </c>
      <c r="D230" s="25">
        <v>11.3</v>
      </c>
      <c r="E230" s="24">
        <v>79</v>
      </c>
      <c r="F230" s="24" t="s">
        <v>64</v>
      </c>
      <c r="G230" s="24" t="s">
        <v>67</v>
      </c>
      <c r="H230" s="24" t="s">
        <v>68</v>
      </c>
      <c r="I230" s="24">
        <v>71</v>
      </c>
      <c r="J230" s="24">
        <v>63</v>
      </c>
      <c r="K230" s="24">
        <v>65</v>
      </c>
      <c r="L230" s="24">
        <v>68</v>
      </c>
      <c r="M230" s="24">
        <v>80</v>
      </c>
      <c r="N230" s="26">
        <f t="shared" si="3"/>
        <v>69.400000000000006</v>
      </c>
      <c r="O230" s="11" t="str">
        <f>LOOKUP(N230,Settings!$A$10:$A$14,Settings!$B$10:$B$14)</f>
        <v>C</v>
      </c>
      <c r="P230" s="11" t="str">
        <f>IF(N230&gt;=Settings!$B$3,"Pass","Fail")</f>
        <v>Pass</v>
      </c>
      <c r="Q230" s="11" t="str">
        <f>LOOKUP(D230,Settings!$A$19:$A$23,Settings!$B$19:$B$23)</f>
        <v>10 to 14 hrs</v>
      </c>
      <c r="R230" s="11" t="str">
        <f>LOOKUP(E230,Settings!$A$28:$A$31,Settings!$B$28:$B$31)</f>
        <v>75 to 84%</v>
      </c>
      <c r="S230" s="11" t="str">
        <f>IF(OR(N230&lt;Settings!$B$4,E230&lt;Settings!$B$5),"Yes","No")</f>
        <v>No</v>
      </c>
      <c r="T230" s="11">
        <f>RANK(N230,$N$2:$N$301,0)+COUNTIF($N$2:N230,N230)-1</f>
        <v>64</v>
      </c>
    </row>
    <row r="231" spans="1:20" x14ac:dyDescent="0.3">
      <c r="A231" s="24" t="s">
        <v>337</v>
      </c>
      <c r="B231" s="24" t="s">
        <v>45</v>
      </c>
      <c r="C231" s="24" t="s">
        <v>57</v>
      </c>
      <c r="D231" s="25">
        <v>16.399999999999999</v>
      </c>
      <c r="E231" s="24">
        <v>76</v>
      </c>
      <c r="F231" s="24" t="s">
        <v>62</v>
      </c>
      <c r="G231" s="24" t="s">
        <v>68</v>
      </c>
      <c r="H231" s="24" t="s">
        <v>67</v>
      </c>
      <c r="I231" s="24">
        <v>56</v>
      </c>
      <c r="J231" s="24">
        <v>54</v>
      </c>
      <c r="K231" s="24">
        <v>45</v>
      </c>
      <c r="L231" s="24">
        <v>53</v>
      </c>
      <c r="M231" s="24">
        <v>49</v>
      </c>
      <c r="N231" s="26">
        <f t="shared" si="3"/>
        <v>51.4</v>
      </c>
      <c r="O231" s="11" t="str">
        <f>LOOKUP(N231,Settings!$A$10:$A$14,Settings!$B$10:$B$14)</f>
        <v>D</v>
      </c>
      <c r="P231" s="11" t="str">
        <f>IF(N231&gt;=Settings!$B$3,"Pass","Fail")</f>
        <v>Pass</v>
      </c>
      <c r="Q231" s="11" t="str">
        <f>LOOKUP(D231,Settings!$A$19:$A$23,Settings!$B$19:$B$23)</f>
        <v>15 to 19 hrs</v>
      </c>
      <c r="R231" s="11" t="str">
        <f>LOOKUP(E231,Settings!$A$28:$A$31,Settings!$B$28:$B$31)</f>
        <v>75 to 84%</v>
      </c>
      <c r="S231" s="11" t="str">
        <f>IF(OR(N231&lt;Settings!$B$4,E231&lt;Settings!$B$5),"Yes","No")</f>
        <v>Yes</v>
      </c>
      <c r="T231" s="11">
        <f>RANK(N231,$N$2:$N$301,0)+COUNTIF($N$2:N231,N231)-1</f>
        <v>253</v>
      </c>
    </row>
    <row r="232" spans="1:20" x14ac:dyDescent="0.3">
      <c r="A232" s="24" t="s">
        <v>338</v>
      </c>
      <c r="B232" s="24" t="s">
        <v>45</v>
      </c>
      <c r="C232" s="24" t="s">
        <v>58</v>
      </c>
      <c r="D232" s="25">
        <v>9.3000000000000007</v>
      </c>
      <c r="E232" s="24">
        <v>88</v>
      </c>
      <c r="F232" s="24" t="s">
        <v>63</v>
      </c>
      <c r="G232" s="24" t="s">
        <v>68</v>
      </c>
      <c r="H232" s="24" t="s">
        <v>68</v>
      </c>
      <c r="I232" s="24">
        <v>53</v>
      </c>
      <c r="J232" s="24">
        <v>57</v>
      </c>
      <c r="K232" s="24">
        <v>50</v>
      </c>
      <c r="L232" s="24">
        <v>53</v>
      </c>
      <c r="M232" s="24">
        <v>55</v>
      </c>
      <c r="N232" s="26">
        <f t="shared" si="3"/>
        <v>53.6</v>
      </c>
      <c r="O232" s="11" t="str">
        <f>LOOKUP(N232,Settings!$A$10:$A$14,Settings!$B$10:$B$14)</f>
        <v>D</v>
      </c>
      <c r="P232" s="11" t="str">
        <f>IF(N232&gt;=Settings!$B$3,"Pass","Fail")</f>
        <v>Pass</v>
      </c>
      <c r="Q232" s="11" t="str">
        <f>LOOKUP(D232,Settings!$A$19:$A$23,Settings!$B$19:$B$23)</f>
        <v>5 to 9 hrs</v>
      </c>
      <c r="R232" s="11" t="str">
        <f>LOOKUP(E232,Settings!$A$28:$A$31,Settings!$B$28:$B$31)</f>
        <v>85 to 94%</v>
      </c>
      <c r="S232" s="11" t="str">
        <f>IF(OR(N232&lt;Settings!$B$4,E232&lt;Settings!$B$5),"Yes","No")</f>
        <v>Yes</v>
      </c>
      <c r="T232" s="11">
        <f>RANK(N232,$N$2:$N$301,0)+COUNTIF($N$2:N232,N232)-1</f>
        <v>238</v>
      </c>
    </row>
    <row r="233" spans="1:20" x14ac:dyDescent="0.3">
      <c r="A233" s="24" t="s">
        <v>339</v>
      </c>
      <c r="B233" s="24" t="s">
        <v>45</v>
      </c>
      <c r="C233" s="24" t="s">
        <v>59</v>
      </c>
      <c r="D233" s="25">
        <v>4.0999999999999996</v>
      </c>
      <c r="E233" s="24">
        <v>88</v>
      </c>
      <c r="F233" s="24" t="s">
        <v>63</v>
      </c>
      <c r="G233" s="24" t="s">
        <v>67</v>
      </c>
      <c r="H233" s="24" t="s">
        <v>68</v>
      </c>
      <c r="I233" s="24">
        <v>71</v>
      </c>
      <c r="J233" s="24">
        <v>64</v>
      </c>
      <c r="K233" s="24">
        <v>53</v>
      </c>
      <c r="L233" s="24">
        <v>54</v>
      </c>
      <c r="M233" s="24">
        <v>67</v>
      </c>
      <c r="N233" s="26">
        <f t="shared" si="3"/>
        <v>61.8</v>
      </c>
      <c r="O233" s="11" t="str">
        <f>LOOKUP(N233,Settings!$A$10:$A$14,Settings!$B$10:$B$14)</f>
        <v>C</v>
      </c>
      <c r="P233" s="11" t="str">
        <f>IF(N233&gt;=Settings!$B$3,"Pass","Fail")</f>
        <v>Pass</v>
      </c>
      <c r="Q233" s="11" t="str">
        <f>LOOKUP(D233,Settings!$A$19:$A$23,Settings!$B$19:$B$23)</f>
        <v>0 to 4 hrs</v>
      </c>
      <c r="R233" s="11" t="str">
        <f>LOOKUP(E233,Settings!$A$28:$A$31,Settings!$B$28:$B$31)</f>
        <v>85 to 94%</v>
      </c>
      <c r="S233" s="11" t="str">
        <f>IF(OR(N233&lt;Settings!$B$4,E233&lt;Settings!$B$5),"Yes","No")</f>
        <v>No</v>
      </c>
      <c r="T233" s="11">
        <f>RANK(N233,$N$2:$N$301,0)+COUNTIF($N$2:N233,N233)-1</f>
        <v>159</v>
      </c>
    </row>
    <row r="234" spans="1:20" x14ac:dyDescent="0.3">
      <c r="A234" s="24" t="s">
        <v>340</v>
      </c>
      <c r="B234" s="24" t="s">
        <v>46</v>
      </c>
      <c r="C234" s="24" t="s">
        <v>58</v>
      </c>
      <c r="D234" s="25">
        <v>5.0999999999999996</v>
      </c>
      <c r="E234" s="24">
        <v>86</v>
      </c>
      <c r="F234" s="24" t="s">
        <v>63</v>
      </c>
      <c r="G234" s="24" t="s">
        <v>67</v>
      </c>
      <c r="H234" s="24" t="s">
        <v>67</v>
      </c>
      <c r="I234" s="24">
        <v>65</v>
      </c>
      <c r="J234" s="24">
        <v>59</v>
      </c>
      <c r="K234" s="24">
        <v>61</v>
      </c>
      <c r="L234" s="24">
        <v>59</v>
      </c>
      <c r="M234" s="24">
        <v>60</v>
      </c>
      <c r="N234" s="26">
        <f t="shared" si="3"/>
        <v>60.8</v>
      </c>
      <c r="O234" s="11" t="str">
        <f>LOOKUP(N234,Settings!$A$10:$A$14,Settings!$B$10:$B$14)</f>
        <v>C</v>
      </c>
      <c r="P234" s="11" t="str">
        <f>IF(N234&gt;=Settings!$B$3,"Pass","Fail")</f>
        <v>Pass</v>
      </c>
      <c r="Q234" s="11" t="str">
        <f>LOOKUP(D234,Settings!$A$19:$A$23,Settings!$B$19:$B$23)</f>
        <v>5 to 9 hrs</v>
      </c>
      <c r="R234" s="11" t="str">
        <f>LOOKUP(E234,Settings!$A$28:$A$31,Settings!$B$28:$B$31)</f>
        <v>85 to 94%</v>
      </c>
      <c r="S234" s="11" t="str">
        <f>IF(OR(N234&lt;Settings!$B$4,E234&lt;Settings!$B$5),"Yes","No")</f>
        <v>No</v>
      </c>
      <c r="T234" s="11">
        <f>RANK(N234,$N$2:$N$301,0)+COUNTIF($N$2:N234,N234)-1</f>
        <v>167</v>
      </c>
    </row>
    <row r="235" spans="1:20" x14ac:dyDescent="0.3">
      <c r="A235" s="24" t="s">
        <v>341</v>
      </c>
      <c r="B235" s="24" t="s">
        <v>46</v>
      </c>
      <c r="C235" s="24" t="s">
        <v>58</v>
      </c>
      <c r="D235" s="25">
        <v>9.3000000000000007</v>
      </c>
      <c r="E235" s="24">
        <v>93</v>
      </c>
      <c r="F235" s="24" t="s">
        <v>63</v>
      </c>
      <c r="G235" s="24" t="s">
        <v>68</v>
      </c>
      <c r="H235" s="24" t="s">
        <v>67</v>
      </c>
      <c r="I235" s="24">
        <v>63</v>
      </c>
      <c r="J235" s="24">
        <v>52</v>
      </c>
      <c r="K235" s="24">
        <v>50</v>
      </c>
      <c r="L235" s="24">
        <v>59</v>
      </c>
      <c r="M235" s="24">
        <v>62</v>
      </c>
      <c r="N235" s="26">
        <f t="shared" si="3"/>
        <v>57.2</v>
      </c>
      <c r="O235" s="11" t="str">
        <f>LOOKUP(N235,Settings!$A$10:$A$14,Settings!$B$10:$B$14)</f>
        <v>D</v>
      </c>
      <c r="P235" s="11" t="str">
        <f>IF(N235&gt;=Settings!$B$3,"Pass","Fail")</f>
        <v>Pass</v>
      </c>
      <c r="Q235" s="11" t="str">
        <f>LOOKUP(D235,Settings!$A$19:$A$23,Settings!$B$19:$B$23)</f>
        <v>5 to 9 hrs</v>
      </c>
      <c r="R235" s="11" t="str">
        <f>LOOKUP(E235,Settings!$A$28:$A$31,Settings!$B$28:$B$31)</f>
        <v>85 to 94%</v>
      </c>
      <c r="S235" s="11" t="str">
        <f>IF(OR(N235&lt;Settings!$B$4,E235&lt;Settings!$B$5),"Yes","No")</f>
        <v>No</v>
      </c>
      <c r="T235" s="11">
        <f>RANK(N235,$N$2:$N$301,0)+COUNTIF($N$2:N235,N235)-1</f>
        <v>201</v>
      </c>
    </row>
    <row r="236" spans="1:20" x14ac:dyDescent="0.3">
      <c r="A236" s="24" t="s">
        <v>342</v>
      </c>
      <c r="B236" s="24" t="s">
        <v>46</v>
      </c>
      <c r="C236" s="24" t="s">
        <v>57</v>
      </c>
      <c r="D236" s="25">
        <v>5.8</v>
      </c>
      <c r="E236" s="24">
        <v>85</v>
      </c>
      <c r="F236" s="24" t="s">
        <v>63</v>
      </c>
      <c r="G236" s="24" t="s">
        <v>68</v>
      </c>
      <c r="H236" s="24" t="s">
        <v>67</v>
      </c>
      <c r="I236" s="24">
        <v>50</v>
      </c>
      <c r="J236" s="24">
        <v>53</v>
      </c>
      <c r="K236" s="24">
        <v>57</v>
      </c>
      <c r="L236" s="24">
        <v>67</v>
      </c>
      <c r="M236" s="24">
        <v>50</v>
      </c>
      <c r="N236" s="26">
        <f t="shared" si="3"/>
        <v>55.4</v>
      </c>
      <c r="O236" s="11" t="str">
        <f>LOOKUP(N236,Settings!$A$10:$A$14,Settings!$B$10:$B$14)</f>
        <v>D</v>
      </c>
      <c r="P236" s="11" t="str">
        <f>IF(N236&gt;=Settings!$B$3,"Pass","Fail")</f>
        <v>Pass</v>
      </c>
      <c r="Q236" s="11" t="str">
        <f>LOOKUP(D236,Settings!$A$19:$A$23,Settings!$B$19:$B$23)</f>
        <v>5 to 9 hrs</v>
      </c>
      <c r="R236" s="11" t="str">
        <f>LOOKUP(E236,Settings!$A$28:$A$31,Settings!$B$28:$B$31)</f>
        <v>85 to 94%</v>
      </c>
      <c r="S236" s="11" t="str">
        <f>IF(OR(N236&lt;Settings!$B$4,E236&lt;Settings!$B$5),"Yes","No")</f>
        <v>No</v>
      </c>
      <c r="T236" s="11">
        <f>RANK(N236,$N$2:$N$301,0)+COUNTIF($N$2:N236,N236)-1</f>
        <v>225</v>
      </c>
    </row>
    <row r="237" spans="1:20" x14ac:dyDescent="0.3">
      <c r="A237" s="24" t="s">
        <v>343</v>
      </c>
      <c r="B237" s="24" t="s">
        <v>46</v>
      </c>
      <c r="C237" s="24" t="s">
        <v>57</v>
      </c>
      <c r="D237" s="25">
        <v>14.1</v>
      </c>
      <c r="E237" s="24">
        <v>90</v>
      </c>
      <c r="F237" s="24" t="s">
        <v>63</v>
      </c>
      <c r="G237" s="24" t="s">
        <v>67</v>
      </c>
      <c r="H237" s="24" t="s">
        <v>68</v>
      </c>
      <c r="I237" s="24">
        <v>68</v>
      </c>
      <c r="J237" s="24">
        <v>63</v>
      </c>
      <c r="K237" s="24">
        <v>78</v>
      </c>
      <c r="L237" s="24">
        <v>72</v>
      </c>
      <c r="M237" s="24">
        <v>72</v>
      </c>
      <c r="N237" s="26">
        <f t="shared" si="3"/>
        <v>70.599999999999994</v>
      </c>
      <c r="O237" s="11" t="str">
        <f>LOOKUP(N237,Settings!$A$10:$A$14,Settings!$B$10:$B$14)</f>
        <v>B</v>
      </c>
      <c r="P237" s="11" t="str">
        <f>IF(N237&gt;=Settings!$B$3,"Pass","Fail")</f>
        <v>Pass</v>
      </c>
      <c r="Q237" s="11" t="str">
        <f>LOOKUP(D237,Settings!$A$19:$A$23,Settings!$B$19:$B$23)</f>
        <v>10 to 14 hrs</v>
      </c>
      <c r="R237" s="11" t="str">
        <f>LOOKUP(E237,Settings!$A$28:$A$31,Settings!$B$28:$B$31)</f>
        <v>85 to 94%</v>
      </c>
      <c r="S237" s="11" t="str">
        <f>IF(OR(N237&lt;Settings!$B$4,E237&lt;Settings!$B$5),"Yes","No")</f>
        <v>No</v>
      </c>
      <c r="T237" s="11">
        <f>RANK(N237,$N$2:$N$301,0)+COUNTIF($N$2:N237,N237)-1</f>
        <v>54</v>
      </c>
    </row>
    <row r="238" spans="1:20" x14ac:dyDescent="0.3">
      <c r="A238" s="24" t="s">
        <v>344</v>
      </c>
      <c r="B238" s="24" t="s">
        <v>45</v>
      </c>
      <c r="C238" s="24" t="s">
        <v>58</v>
      </c>
      <c r="D238" s="25">
        <v>9.6999999999999993</v>
      </c>
      <c r="E238" s="24">
        <v>88</v>
      </c>
      <c r="F238" s="24" t="s">
        <v>64</v>
      </c>
      <c r="G238" s="24" t="s">
        <v>67</v>
      </c>
      <c r="H238" s="24" t="s">
        <v>67</v>
      </c>
      <c r="I238" s="24">
        <v>84</v>
      </c>
      <c r="J238" s="24">
        <v>86</v>
      </c>
      <c r="K238" s="24">
        <v>69</v>
      </c>
      <c r="L238" s="24">
        <v>85</v>
      </c>
      <c r="M238" s="24">
        <v>67</v>
      </c>
      <c r="N238" s="26">
        <f t="shared" si="3"/>
        <v>78.2</v>
      </c>
      <c r="O238" s="11" t="str">
        <f>LOOKUP(N238,Settings!$A$10:$A$14,Settings!$B$10:$B$14)</f>
        <v>B</v>
      </c>
      <c r="P238" s="11" t="str">
        <f>IF(N238&gt;=Settings!$B$3,"Pass","Fail")</f>
        <v>Pass</v>
      </c>
      <c r="Q238" s="11" t="str">
        <f>LOOKUP(D238,Settings!$A$19:$A$23,Settings!$B$19:$B$23)</f>
        <v>5 to 9 hrs</v>
      </c>
      <c r="R238" s="11" t="str">
        <f>LOOKUP(E238,Settings!$A$28:$A$31,Settings!$B$28:$B$31)</f>
        <v>85 to 94%</v>
      </c>
      <c r="S238" s="11" t="str">
        <f>IF(OR(N238&lt;Settings!$B$4,E238&lt;Settings!$B$5),"Yes","No")</f>
        <v>No</v>
      </c>
      <c r="T238" s="11">
        <f>RANK(N238,$N$2:$N$301,0)+COUNTIF($N$2:N238,N238)-1</f>
        <v>13</v>
      </c>
    </row>
    <row r="239" spans="1:20" x14ac:dyDescent="0.3">
      <c r="A239" s="24" t="s">
        <v>345</v>
      </c>
      <c r="B239" s="24" t="s">
        <v>46</v>
      </c>
      <c r="C239" s="24" t="s">
        <v>57</v>
      </c>
      <c r="D239" s="25">
        <v>23.9</v>
      </c>
      <c r="E239" s="24">
        <v>89</v>
      </c>
      <c r="F239" s="24" t="s">
        <v>64</v>
      </c>
      <c r="G239" s="24" t="s">
        <v>67</v>
      </c>
      <c r="H239" s="24" t="s">
        <v>68</v>
      </c>
      <c r="I239" s="24">
        <v>82</v>
      </c>
      <c r="J239" s="24">
        <v>77</v>
      </c>
      <c r="K239" s="24">
        <v>77</v>
      </c>
      <c r="L239" s="24">
        <v>85</v>
      </c>
      <c r="M239" s="24">
        <v>73</v>
      </c>
      <c r="N239" s="26">
        <f t="shared" si="3"/>
        <v>78.8</v>
      </c>
      <c r="O239" s="11" t="str">
        <f>LOOKUP(N239,Settings!$A$10:$A$14,Settings!$B$10:$B$14)</f>
        <v>B</v>
      </c>
      <c r="P239" s="11" t="str">
        <f>IF(N239&gt;=Settings!$B$3,"Pass","Fail")</f>
        <v>Pass</v>
      </c>
      <c r="Q239" s="11" t="str">
        <f>LOOKUP(D239,Settings!$A$19:$A$23,Settings!$B$19:$B$23)</f>
        <v>20+ hrs</v>
      </c>
      <c r="R239" s="11" t="str">
        <f>LOOKUP(E239,Settings!$A$28:$A$31,Settings!$B$28:$B$31)</f>
        <v>85 to 94%</v>
      </c>
      <c r="S239" s="11" t="str">
        <f>IF(OR(N239&lt;Settings!$B$4,E239&lt;Settings!$B$5),"Yes","No")</f>
        <v>No</v>
      </c>
      <c r="T239" s="11">
        <f>RANK(N239,$N$2:$N$301,0)+COUNTIF($N$2:N239,N239)-1</f>
        <v>8</v>
      </c>
    </row>
    <row r="240" spans="1:20" x14ac:dyDescent="0.3">
      <c r="A240" s="24" t="s">
        <v>346</v>
      </c>
      <c r="B240" s="24" t="s">
        <v>45</v>
      </c>
      <c r="C240" s="24" t="s">
        <v>57</v>
      </c>
      <c r="D240" s="25">
        <v>3.3</v>
      </c>
      <c r="E240" s="24">
        <v>79</v>
      </c>
      <c r="F240" s="24" t="s">
        <v>63</v>
      </c>
      <c r="G240" s="24" t="s">
        <v>67</v>
      </c>
      <c r="H240" s="24" t="s">
        <v>68</v>
      </c>
      <c r="I240" s="24">
        <v>34</v>
      </c>
      <c r="J240" s="24">
        <v>44</v>
      </c>
      <c r="K240" s="24">
        <v>52</v>
      </c>
      <c r="L240" s="24">
        <v>47</v>
      </c>
      <c r="M240" s="24">
        <v>51</v>
      </c>
      <c r="N240" s="26">
        <f t="shared" si="3"/>
        <v>45.6</v>
      </c>
      <c r="O240" s="11" t="str">
        <f>LOOKUP(N240,Settings!$A$10:$A$14,Settings!$B$10:$B$14)</f>
        <v>F</v>
      </c>
      <c r="P240" s="11" t="str">
        <f>IF(N240&gt;=Settings!$B$3,"Pass","Fail")</f>
        <v>Fail</v>
      </c>
      <c r="Q240" s="11" t="str">
        <f>LOOKUP(D240,Settings!$A$19:$A$23,Settings!$B$19:$B$23)</f>
        <v>0 to 4 hrs</v>
      </c>
      <c r="R240" s="11" t="str">
        <f>LOOKUP(E240,Settings!$A$28:$A$31,Settings!$B$28:$B$31)</f>
        <v>75 to 84%</v>
      </c>
      <c r="S240" s="11" t="str">
        <f>IF(OR(N240&lt;Settings!$B$4,E240&lt;Settings!$B$5),"Yes","No")</f>
        <v>Yes</v>
      </c>
      <c r="T240" s="11">
        <f>RANK(N240,$N$2:$N$301,0)+COUNTIF($N$2:N240,N240)-1</f>
        <v>286</v>
      </c>
    </row>
    <row r="241" spans="1:20" x14ac:dyDescent="0.3">
      <c r="A241" s="24" t="s">
        <v>347</v>
      </c>
      <c r="B241" s="24" t="s">
        <v>45</v>
      </c>
      <c r="C241" s="24" t="s">
        <v>59</v>
      </c>
      <c r="D241" s="25">
        <v>13</v>
      </c>
      <c r="E241" s="24">
        <v>100</v>
      </c>
      <c r="F241" s="24" t="s">
        <v>63</v>
      </c>
      <c r="G241" s="24" t="s">
        <v>67</v>
      </c>
      <c r="H241" s="24" t="s">
        <v>68</v>
      </c>
      <c r="I241" s="24">
        <v>72</v>
      </c>
      <c r="J241" s="24">
        <v>74</v>
      </c>
      <c r="K241" s="24">
        <v>64</v>
      </c>
      <c r="L241" s="24">
        <v>72</v>
      </c>
      <c r="M241" s="24">
        <v>66</v>
      </c>
      <c r="N241" s="26">
        <f t="shared" si="3"/>
        <v>69.599999999999994</v>
      </c>
      <c r="O241" s="11" t="str">
        <f>LOOKUP(N241,Settings!$A$10:$A$14,Settings!$B$10:$B$14)</f>
        <v>C</v>
      </c>
      <c r="P241" s="11" t="str">
        <f>IF(N241&gt;=Settings!$B$3,"Pass","Fail")</f>
        <v>Pass</v>
      </c>
      <c r="Q241" s="11" t="str">
        <f>LOOKUP(D241,Settings!$A$19:$A$23,Settings!$B$19:$B$23)</f>
        <v>10 to 14 hrs</v>
      </c>
      <c r="R241" s="11" t="str">
        <f>LOOKUP(E241,Settings!$A$28:$A$31,Settings!$B$28:$B$31)</f>
        <v>95 to 100%</v>
      </c>
      <c r="S241" s="11" t="str">
        <f>IF(OR(N241&lt;Settings!$B$4,E241&lt;Settings!$B$5),"Yes","No")</f>
        <v>No</v>
      </c>
      <c r="T241" s="11">
        <f>RANK(N241,$N$2:$N$301,0)+COUNTIF($N$2:N241,N241)-1</f>
        <v>63</v>
      </c>
    </row>
    <row r="242" spans="1:20" x14ac:dyDescent="0.3">
      <c r="A242" s="24" t="s">
        <v>348</v>
      </c>
      <c r="B242" s="24" t="s">
        <v>46</v>
      </c>
      <c r="C242" s="24" t="s">
        <v>59</v>
      </c>
      <c r="D242" s="25">
        <v>6.4</v>
      </c>
      <c r="E242" s="24">
        <v>81</v>
      </c>
      <c r="F242" s="24" t="s">
        <v>62</v>
      </c>
      <c r="G242" s="24" t="s">
        <v>67</v>
      </c>
      <c r="H242" s="24" t="s">
        <v>67</v>
      </c>
      <c r="I242" s="24">
        <v>49</v>
      </c>
      <c r="J242" s="24">
        <v>45</v>
      </c>
      <c r="K242" s="24">
        <v>47</v>
      </c>
      <c r="L242" s="24">
        <v>49</v>
      </c>
      <c r="M242" s="24">
        <v>50</v>
      </c>
      <c r="N242" s="26">
        <f t="shared" si="3"/>
        <v>48</v>
      </c>
      <c r="O242" s="11" t="str">
        <f>LOOKUP(N242,Settings!$A$10:$A$14,Settings!$B$10:$B$14)</f>
        <v>F</v>
      </c>
      <c r="P242" s="11" t="str">
        <f>IF(N242&gt;=Settings!$B$3,"Pass","Fail")</f>
        <v>Fail</v>
      </c>
      <c r="Q242" s="11" t="str">
        <f>LOOKUP(D242,Settings!$A$19:$A$23,Settings!$B$19:$B$23)</f>
        <v>5 to 9 hrs</v>
      </c>
      <c r="R242" s="11" t="str">
        <f>LOOKUP(E242,Settings!$A$28:$A$31,Settings!$B$28:$B$31)</f>
        <v>75 to 84%</v>
      </c>
      <c r="S242" s="11" t="str">
        <f>IF(OR(N242&lt;Settings!$B$4,E242&lt;Settings!$B$5),"Yes","No")</f>
        <v>Yes</v>
      </c>
      <c r="T242" s="11">
        <f>RANK(N242,$N$2:$N$301,0)+COUNTIF($N$2:N242,N242)-1</f>
        <v>277</v>
      </c>
    </row>
    <row r="243" spans="1:20" x14ac:dyDescent="0.3">
      <c r="A243" s="24" t="s">
        <v>349</v>
      </c>
      <c r="B243" s="24" t="s">
        <v>46</v>
      </c>
      <c r="C243" s="24" t="s">
        <v>58</v>
      </c>
      <c r="D243" s="25">
        <v>9.5</v>
      </c>
      <c r="E243" s="24">
        <v>80</v>
      </c>
      <c r="F243" s="24" t="s">
        <v>64</v>
      </c>
      <c r="G243" s="24" t="s">
        <v>68</v>
      </c>
      <c r="H243" s="24" t="s">
        <v>67</v>
      </c>
      <c r="I243" s="24">
        <v>64</v>
      </c>
      <c r="J243" s="24">
        <v>44</v>
      </c>
      <c r="K243" s="24">
        <v>61</v>
      </c>
      <c r="L243" s="24">
        <v>62</v>
      </c>
      <c r="M243" s="24">
        <v>50</v>
      </c>
      <c r="N243" s="26">
        <f t="shared" si="3"/>
        <v>56.2</v>
      </c>
      <c r="O243" s="11" t="str">
        <f>LOOKUP(N243,Settings!$A$10:$A$14,Settings!$B$10:$B$14)</f>
        <v>D</v>
      </c>
      <c r="P243" s="11" t="str">
        <f>IF(N243&gt;=Settings!$B$3,"Pass","Fail")</f>
        <v>Pass</v>
      </c>
      <c r="Q243" s="11" t="str">
        <f>LOOKUP(D243,Settings!$A$19:$A$23,Settings!$B$19:$B$23)</f>
        <v>5 to 9 hrs</v>
      </c>
      <c r="R243" s="11" t="str">
        <f>LOOKUP(E243,Settings!$A$28:$A$31,Settings!$B$28:$B$31)</f>
        <v>75 to 84%</v>
      </c>
      <c r="S243" s="11" t="str">
        <f>IF(OR(N243&lt;Settings!$B$4,E243&lt;Settings!$B$5),"Yes","No")</f>
        <v>No</v>
      </c>
      <c r="T243" s="11">
        <f>RANK(N243,$N$2:$N$301,0)+COUNTIF($N$2:N243,N243)-1</f>
        <v>214</v>
      </c>
    </row>
    <row r="244" spans="1:20" x14ac:dyDescent="0.3">
      <c r="A244" s="24" t="s">
        <v>350</v>
      </c>
      <c r="B244" s="24" t="s">
        <v>45</v>
      </c>
      <c r="C244" s="24" t="s">
        <v>59</v>
      </c>
      <c r="D244" s="25">
        <v>12.7</v>
      </c>
      <c r="E244" s="24">
        <v>90</v>
      </c>
      <c r="F244" s="24" t="s">
        <v>63</v>
      </c>
      <c r="G244" s="24" t="s">
        <v>68</v>
      </c>
      <c r="H244" s="24" t="s">
        <v>67</v>
      </c>
      <c r="I244" s="24">
        <v>47</v>
      </c>
      <c r="J244" s="24">
        <v>58</v>
      </c>
      <c r="K244" s="24">
        <v>47</v>
      </c>
      <c r="L244" s="24">
        <v>54</v>
      </c>
      <c r="M244" s="24">
        <v>46</v>
      </c>
      <c r="N244" s="26">
        <f t="shared" si="3"/>
        <v>50.4</v>
      </c>
      <c r="O244" s="11" t="str">
        <f>LOOKUP(N244,Settings!$A$10:$A$14,Settings!$B$10:$B$14)</f>
        <v>D</v>
      </c>
      <c r="P244" s="11" t="str">
        <f>IF(N244&gt;=Settings!$B$3,"Pass","Fail")</f>
        <v>Pass</v>
      </c>
      <c r="Q244" s="11" t="str">
        <f>LOOKUP(D244,Settings!$A$19:$A$23,Settings!$B$19:$B$23)</f>
        <v>10 to 14 hrs</v>
      </c>
      <c r="R244" s="11" t="str">
        <f>LOOKUP(E244,Settings!$A$28:$A$31,Settings!$B$28:$B$31)</f>
        <v>85 to 94%</v>
      </c>
      <c r="S244" s="11" t="str">
        <f>IF(OR(N244&lt;Settings!$B$4,E244&lt;Settings!$B$5),"Yes","No")</f>
        <v>Yes</v>
      </c>
      <c r="T244" s="11">
        <f>RANK(N244,$N$2:$N$301,0)+COUNTIF($N$2:N244,N244)-1</f>
        <v>264</v>
      </c>
    </row>
    <row r="245" spans="1:20" x14ac:dyDescent="0.3">
      <c r="A245" s="24" t="s">
        <v>351</v>
      </c>
      <c r="B245" s="24" t="s">
        <v>46</v>
      </c>
      <c r="C245" s="24" t="s">
        <v>59</v>
      </c>
      <c r="D245" s="25">
        <v>1</v>
      </c>
      <c r="E245" s="24">
        <v>85</v>
      </c>
      <c r="F245" s="24" t="s">
        <v>63</v>
      </c>
      <c r="G245" s="24" t="s">
        <v>68</v>
      </c>
      <c r="H245" s="24" t="s">
        <v>67</v>
      </c>
      <c r="I245" s="24">
        <v>47</v>
      </c>
      <c r="J245" s="24">
        <v>39</v>
      </c>
      <c r="K245" s="24">
        <v>50</v>
      </c>
      <c r="L245" s="24">
        <v>37</v>
      </c>
      <c r="M245" s="24">
        <v>46</v>
      </c>
      <c r="N245" s="26">
        <f t="shared" si="3"/>
        <v>43.8</v>
      </c>
      <c r="O245" s="11" t="str">
        <f>LOOKUP(N245,Settings!$A$10:$A$14,Settings!$B$10:$B$14)</f>
        <v>F</v>
      </c>
      <c r="P245" s="11" t="str">
        <f>IF(N245&gt;=Settings!$B$3,"Pass","Fail")</f>
        <v>Fail</v>
      </c>
      <c r="Q245" s="11" t="str">
        <f>LOOKUP(D245,Settings!$A$19:$A$23,Settings!$B$19:$B$23)</f>
        <v>0 to 4 hrs</v>
      </c>
      <c r="R245" s="11" t="str">
        <f>LOOKUP(E245,Settings!$A$28:$A$31,Settings!$B$28:$B$31)</f>
        <v>85 to 94%</v>
      </c>
      <c r="S245" s="11" t="str">
        <f>IF(OR(N245&lt;Settings!$B$4,E245&lt;Settings!$B$5),"Yes","No")</f>
        <v>Yes</v>
      </c>
      <c r="T245" s="11">
        <f>RANK(N245,$N$2:$N$301,0)+COUNTIF($N$2:N245,N245)-1</f>
        <v>292</v>
      </c>
    </row>
    <row r="246" spans="1:20" x14ac:dyDescent="0.3">
      <c r="A246" s="24" t="s">
        <v>352</v>
      </c>
      <c r="B246" s="24" t="s">
        <v>46</v>
      </c>
      <c r="C246" s="24" t="s">
        <v>57</v>
      </c>
      <c r="D246" s="25">
        <v>13.2</v>
      </c>
      <c r="E246" s="24">
        <v>75</v>
      </c>
      <c r="F246" s="24" t="s">
        <v>62</v>
      </c>
      <c r="G246" s="24" t="s">
        <v>67</v>
      </c>
      <c r="H246" s="24" t="s">
        <v>67</v>
      </c>
      <c r="I246" s="24">
        <v>71</v>
      </c>
      <c r="J246" s="24">
        <v>58</v>
      </c>
      <c r="K246" s="24">
        <v>64</v>
      </c>
      <c r="L246" s="24">
        <v>63</v>
      </c>
      <c r="M246" s="24">
        <v>69</v>
      </c>
      <c r="N246" s="26">
        <f t="shared" si="3"/>
        <v>65</v>
      </c>
      <c r="O246" s="11" t="str">
        <f>LOOKUP(N246,Settings!$A$10:$A$14,Settings!$B$10:$B$14)</f>
        <v>C</v>
      </c>
      <c r="P246" s="11" t="str">
        <f>IF(N246&gt;=Settings!$B$3,"Pass","Fail")</f>
        <v>Pass</v>
      </c>
      <c r="Q246" s="11" t="str">
        <f>LOOKUP(D246,Settings!$A$19:$A$23,Settings!$B$19:$B$23)</f>
        <v>10 to 14 hrs</v>
      </c>
      <c r="R246" s="11" t="str">
        <f>LOOKUP(E246,Settings!$A$28:$A$31,Settings!$B$28:$B$31)</f>
        <v>75 to 84%</v>
      </c>
      <c r="S246" s="11" t="str">
        <f>IF(OR(N246&lt;Settings!$B$4,E246&lt;Settings!$B$5),"Yes","No")</f>
        <v>No</v>
      </c>
      <c r="T246" s="11">
        <f>RANK(N246,$N$2:$N$301,0)+COUNTIF($N$2:N246,N246)-1</f>
        <v>116</v>
      </c>
    </row>
    <row r="247" spans="1:20" x14ac:dyDescent="0.3">
      <c r="A247" s="24" t="s">
        <v>353</v>
      </c>
      <c r="B247" s="24" t="s">
        <v>46</v>
      </c>
      <c r="C247" s="24" t="s">
        <v>58</v>
      </c>
      <c r="D247" s="25">
        <v>21.5</v>
      </c>
      <c r="E247" s="24">
        <v>98</v>
      </c>
      <c r="F247" s="24" t="s">
        <v>64</v>
      </c>
      <c r="G247" s="24" t="s">
        <v>67</v>
      </c>
      <c r="H247" s="24" t="s">
        <v>68</v>
      </c>
      <c r="I247" s="24">
        <v>76</v>
      </c>
      <c r="J247" s="24">
        <v>78</v>
      </c>
      <c r="K247" s="24">
        <v>77</v>
      </c>
      <c r="L247" s="24">
        <v>90</v>
      </c>
      <c r="M247" s="24">
        <v>65</v>
      </c>
      <c r="N247" s="26">
        <f t="shared" si="3"/>
        <v>77.2</v>
      </c>
      <c r="O247" s="11" t="str">
        <f>LOOKUP(N247,Settings!$A$10:$A$14,Settings!$B$10:$B$14)</f>
        <v>B</v>
      </c>
      <c r="P247" s="11" t="str">
        <f>IF(N247&gt;=Settings!$B$3,"Pass","Fail")</f>
        <v>Pass</v>
      </c>
      <c r="Q247" s="11" t="str">
        <f>LOOKUP(D247,Settings!$A$19:$A$23,Settings!$B$19:$B$23)</f>
        <v>20+ hrs</v>
      </c>
      <c r="R247" s="11" t="str">
        <f>LOOKUP(E247,Settings!$A$28:$A$31,Settings!$B$28:$B$31)</f>
        <v>95 to 100%</v>
      </c>
      <c r="S247" s="11" t="str">
        <f>IF(OR(N247&lt;Settings!$B$4,E247&lt;Settings!$B$5),"Yes","No")</f>
        <v>No</v>
      </c>
      <c r="T247" s="11">
        <f>RANK(N247,$N$2:$N$301,0)+COUNTIF($N$2:N247,N247)-1</f>
        <v>16</v>
      </c>
    </row>
    <row r="248" spans="1:20" x14ac:dyDescent="0.3">
      <c r="A248" s="24" t="s">
        <v>354</v>
      </c>
      <c r="B248" s="24" t="s">
        <v>46</v>
      </c>
      <c r="C248" s="24" t="s">
        <v>58</v>
      </c>
      <c r="D248" s="25">
        <v>9.6999999999999993</v>
      </c>
      <c r="E248" s="24">
        <v>85</v>
      </c>
      <c r="F248" s="24" t="s">
        <v>63</v>
      </c>
      <c r="G248" s="24" t="s">
        <v>68</v>
      </c>
      <c r="H248" s="24" t="s">
        <v>68</v>
      </c>
      <c r="I248" s="24">
        <v>62</v>
      </c>
      <c r="J248" s="24">
        <v>71</v>
      </c>
      <c r="K248" s="24">
        <v>69</v>
      </c>
      <c r="L248" s="24">
        <v>65</v>
      </c>
      <c r="M248" s="24">
        <v>61</v>
      </c>
      <c r="N248" s="26">
        <f t="shared" si="3"/>
        <v>65.599999999999994</v>
      </c>
      <c r="O248" s="11" t="str">
        <f>LOOKUP(N248,Settings!$A$10:$A$14,Settings!$B$10:$B$14)</f>
        <v>C</v>
      </c>
      <c r="P248" s="11" t="str">
        <f>IF(N248&gt;=Settings!$B$3,"Pass","Fail")</f>
        <v>Pass</v>
      </c>
      <c r="Q248" s="11" t="str">
        <f>LOOKUP(D248,Settings!$A$19:$A$23,Settings!$B$19:$B$23)</f>
        <v>5 to 9 hrs</v>
      </c>
      <c r="R248" s="11" t="str">
        <f>LOOKUP(E248,Settings!$A$28:$A$31,Settings!$B$28:$B$31)</f>
        <v>85 to 94%</v>
      </c>
      <c r="S248" s="11" t="str">
        <f>IF(OR(N248&lt;Settings!$B$4,E248&lt;Settings!$B$5),"Yes","No")</f>
        <v>No</v>
      </c>
      <c r="T248" s="11">
        <f>RANK(N248,$N$2:$N$301,0)+COUNTIF($N$2:N248,N248)-1</f>
        <v>107</v>
      </c>
    </row>
    <row r="249" spans="1:20" x14ac:dyDescent="0.3">
      <c r="A249" s="24" t="s">
        <v>355</v>
      </c>
      <c r="B249" s="24" t="s">
        <v>45</v>
      </c>
      <c r="C249" s="24" t="s">
        <v>57</v>
      </c>
      <c r="D249" s="25">
        <v>13.3</v>
      </c>
      <c r="E249" s="24">
        <v>78</v>
      </c>
      <c r="F249" s="24" t="s">
        <v>63</v>
      </c>
      <c r="G249" s="24" t="s">
        <v>68</v>
      </c>
      <c r="H249" s="24" t="s">
        <v>68</v>
      </c>
      <c r="I249" s="24">
        <v>57</v>
      </c>
      <c r="J249" s="24">
        <v>61</v>
      </c>
      <c r="K249" s="24">
        <v>60</v>
      </c>
      <c r="L249" s="24">
        <v>63</v>
      </c>
      <c r="M249" s="24">
        <v>58</v>
      </c>
      <c r="N249" s="26">
        <f t="shared" si="3"/>
        <v>59.8</v>
      </c>
      <c r="O249" s="11" t="str">
        <f>LOOKUP(N249,Settings!$A$10:$A$14,Settings!$B$10:$B$14)</f>
        <v>D</v>
      </c>
      <c r="P249" s="11" t="str">
        <f>IF(N249&gt;=Settings!$B$3,"Pass","Fail")</f>
        <v>Pass</v>
      </c>
      <c r="Q249" s="11" t="str">
        <f>LOOKUP(D249,Settings!$A$19:$A$23,Settings!$B$19:$B$23)</f>
        <v>10 to 14 hrs</v>
      </c>
      <c r="R249" s="11" t="str">
        <f>LOOKUP(E249,Settings!$A$28:$A$31,Settings!$B$28:$B$31)</f>
        <v>75 to 84%</v>
      </c>
      <c r="S249" s="11" t="str">
        <f>IF(OR(N249&lt;Settings!$B$4,E249&lt;Settings!$B$5),"Yes","No")</f>
        <v>No</v>
      </c>
      <c r="T249" s="11">
        <f>RANK(N249,$N$2:$N$301,0)+COUNTIF($N$2:N249,N249)-1</f>
        <v>179</v>
      </c>
    </row>
    <row r="250" spans="1:20" x14ac:dyDescent="0.3">
      <c r="A250" s="24" t="s">
        <v>356</v>
      </c>
      <c r="B250" s="24" t="s">
        <v>45</v>
      </c>
      <c r="C250" s="24" t="s">
        <v>59</v>
      </c>
      <c r="D250" s="25">
        <v>17.100000000000001</v>
      </c>
      <c r="E250" s="24">
        <v>97</v>
      </c>
      <c r="F250" s="24" t="s">
        <v>62</v>
      </c>
      <c r="G250" s="24" t="s">
        <v>67</v>
      </c>
      <c r="H250" s="24" t="s">
        <v>68</v>
      </c>
      <c r="I250" s="24">
        <v>81</v>
      </c>
      <c r="J250" s="24">
        <v>73</v>
      </c>
      <c r="K250" s="24">
        <v>83</v>
      </c>
      <c r="L250" s="24">
        <v>82</v>
      </c>
      <c r="M250" s="24">
        <v>76</v>
      </c>
      <c r="N250" s="26">
        <f t="shared" si="3"/>
        <v>79</v>
      </c>
      <c r="O250" s="11" t="str">
        <f>LOOKUP(N250,Settings!$A$10:$A$14,Settings!$B$10:$B$14)</f>
        <v>B</v>
      </c>
      <c r="P250" s="11" t="str">
        <f>IF(N250&gt;=Settings!$B$3,"Pass","Fail")</f>
        <v>Pass</v>
      </c>
      <c r="Q250" s="11" t="str">
        <f>LOOKUP(D250,Settings!$A$19:$A$23,Settings!$B$19:$B$23)</f>
        <v>15 to 19 hrs</v>
      </c>
      <c r="R250" s="11" t="str">
        <f>LOOKUP(E250,Settings!$A$28:$A$31,Settings!$B$28:$B$31)</f>
        <v>95 to 100%</v>
      </c>
      <c r="S250" s="11" t="str">
        <f>IF(OR(N250&lt;Settings!$B$4,E250&lt;Settings!$B$5),"Yes","No")</f>
        <v>No</v>
      </c>
      <c r="T250" s="11">
        <f>RANK(N250,$N$2:$N$301,0)+COUNTIF($N$2:N250,N250)-1</f>
        <v>6</v>
      </c>
    </row>
    <row r="251" spans="1:20" x14ac:dyDescent="0.3">
      <c r="A251" s="24" t="s">
        <v>357</v>
      </c>
      <c r="B251" s="24" t="s">
        <v>45</v>
      </c>
      <c r="C251" s="24" t="s">
        <v>58</v>
      </c>
      <c r="D251" s="25">
        <v>11.2</v>
      </c>
      <c r="E251" s="24">
        <v>91</v>
      </c>
      <c r="F251" s="24" t="s">
        <v>64</v>
      </c>
      <c r="G251" s="24" t="s">
        <v>68</v>
      </c>
      <c r="H251" s="24" t="s">
        <v>67</v>
      </c>
      <c r="I251" s="24">
        <v>57</v>
      </c>
      <c r="J251" s="24">
        <v>71</v>
      </c>
      <c r="K251" s="24">
        <v>62</v>
      </c>
      <c r="L251" s="24">
        <v>61</v>
      </c>
      <c r="M251" s="24">
        <v>66</v>
      </c>
      <c r="N251" s="26">
        <f t="shared" si="3"/>
        <v>63.4</v>
      </c>
      <c r="O251" s="11" t="str">
        <f>LOOKUP(N251,Settings!$A$10:$A$14,Settings!$B$10:$B$14)</f>
        <v>C</v>
      </c>
      <c r="P251" s="11" t="str">
        <f>IF(N251&gt;=Settings!$B$3,"Pass","Fail")</f>
        <v>Pass</v>
      </c>
      <c r="Q251" s="11" t="str">
        <f>LOOKUP(D251,Settings!$A$19:$A$23,Settings!$B$19:$B$23)</f>
        <v>10 to 14 hrs</v>
      </c>
      <c r="R251" s="11" t="str">
        <f>LOOKUP(E251,Settings!$A$28:$A$31,Settings!$B$28:$B$31)</f>
        <v>85 to 94%</v>
      </c>
      <c r="S251" s="11" t="str">
        <f>IF(OR(N251&lt;Settings!$B$4,E251&lt;Settings!$B$5),"Yes","No")</f>
        <v>No</v>
      </c>
      <c r="T251" s="11">
        <f>RANK(N251,$N$2:$N$301,0)+COUNTIF($N$2:N251,N251)-1</f>
        <v>134</v>
      </c>
    </row>
    <row r="252" spans="1:20" x14ac:dyDescent="0.3">
      <c r="A252" s="24" t="s">
        <v>358</v>
      </c>
      <c r="B252" s="24" t="s">
        <v>46</v>
      </c>
      <c r="C252" s="24" t="s">
        <v>58</v>
      </c>
      <c r="D252" s="25">
        <v>9.1</v>
      </c>
      <c r="E252" s="24">
        <v>75</v>
      </c>
      <c r="F252" s="24" t="s">
        <v>62</v>
      </c>
      <c r="G252" s="24" t="s">
        <v>67</v>
      </c>
      <c r="H252" s="24" t="s">
        <v>68</v>
      </c>
      <c r="I252" s="24">
        <v>49</v>
      </c>
      <c r="J252" s="24">
        <v>53</v>
      </c>
      <c r="K252" s="24">
        <v>58</v>
      </c>
      <c r="L252" s="24">
        <v>61</v>
      </c>
      <c r="M252" s="24">
        <v>61</v>
      </c>
      <c r="N252" s="26">
        <f t="shared" si="3"/>
        <v>56.4</v>
      </c>
      <c r="O252" s="11" t="str">
        <f>LOOKUP(N252,Settings!$A$10:$A$14,Settings!$B$10:$B$14)</f>
        <v>D</v>
      </c>
      <c r="P252" s="11" t="str">
        <f>IF(N252&gt;=Settings!$B$3,"Pass","Fail")</f>
        <v>Pass</v>
      </c>
      <c r="Q252" s="11" t="str">
        <f>LOOKUP(D252,Settings!$A$19:$A$23,Settings!$B$19:$B$23)</f>
        <v>5 to 9 hrs</v>
      </c>
      <c r="R252" s="11" t="str">
        <f>LOOKUP(E252,Settings!$A$28:$A$31,Settings!$B$28:$B$31)</f>
        <v>75 to 84%</v>
      </c>
      <c r="S252" s="11" t="str">
        <f>IF(OR(N252&lt;Settings!$B$4,E252&lt;Settings!$B$5),"Yes","No")</f>
        <v>No</v>
      </c>
      <c r="T252" s="11">
        <f>RANK(N252,$N$2:$N$301,0)+COUNTIF($N$2:N252,N252)-1</f>
        <v>213</v>
      </c>
    </row>
    <row r="253" spans="1:20" x14ac:dyDescent="0.3">
      <c r="A253" s="24" t="s">
        <v>359</v>
      </c>
      <c r="B253" s="24" t="s">
        <v>46</v>
      </c>
      <c r="C253" s="24" t="s">
        <v>57</v>
      </c>
      <c r="D253" s="25">
        <v>1</v>
      </c>
      <c r="E253" s="24">
        <v>97</v>
      </c>
      <c r="F253" s="24" t="s">
        <v>62</v>
      </c>
      <c r="G253" s="24" t="s">
        <v>68</v>
      </c>
      <c r="H253" s="24" t="s">
        <v>68</v>
      </c>
      <c r="I253" s="24">
        <v>55</v>
      </c>
      <c r="J253" s="24">
        <v>58</v>
      </c>
      <c r="K253" s="24">
        <v>48</v>
      </c>
      <c r="L253" s="24">
        <v>40</v>
      </c>
      <c r="M253" s="24">
        <v>47</v>
      </c>
      <c r="N253" s="26">
        <f t="shared" si="3"/>
        <v>49.6</v>
      </c>
      <c r="O253" s="11" t="str">
        <f>LOOKUP(N253,Settings!$A$10:$A$14,Settings!$B$10:$B$14)</f>
        <v>F</v>
      </c>
      <c r="P253" s="11" t="str">
        <f>IF(N253&gt;=Settings!$B$3,"Pass","Fail")</f>
        <v>Fail</v>
      </c>
      <c r="Q253" s="11" t="str">
        <f>LOOKUP(D253,Settings!$A$19:$A$23,Settings!$B$19:$B$23)</f>
        <v>0 to 4 hrs</v>
      </c>
      <c r="R253" s="11" t="str">
        <f>LOOKUP(E253,Settings!$A$28:$A$31,Settings!$B$28:$B$31)</f>
        <v>95 to 100%</v>
      </c>
      <c r="S253" s="11" t="str">
        <f>IF(OR(N253&lt;Settings!$B$4,E253&lt;Settings!$B$5),"Yes","No")</f>
        <v>Yes</v>
      </c>
      <c r="T253" s="11">
        <f>RANK(N253,$N$2:$N$301,0)+COUNTIF($N$2:N253,N253)-1</f>
        <v>270</v>
      </c>
    </row>
    <row r="254" spans="1:20" x14ac:dyDescent="0.3">
      <c r="A254" s="24" t="s">
        <v>360</v>
      </c>
      <c r="B254" s="24" t="s">
        <v>45</v>
      </c>
      <c r="C254" s="24" t="s">
        <v>57</v>
      </c>
      <c r="D254" s="25">
        <v>15.2</v>
      </c>
      <c r="E254" s="24">
        <v>92</v>
      </c>
      <c r="F254" s="24" t="s">
        <v>64</v>
      </c>
      <c r="G254" s="24" t="s">
        <v>67</v>
      </c>
      <c r="H254" s="24" t="s">
        <v>68</v>
      </c>
      <c r="I254" s="24">
        <v>74</v>
      </c>
      <c r="J254" s="24">
        <v>81</v>
      </c>
      <c r="K254" s="24">
        <v>82</v>
      </c>
      <c r="L254" s="24">
        <v>76</v>
      </c>
      <c r="M254" s="24">
        <v>75</v>
      </c>
      <c r="N254" s="26">
        <f t="shared" si="3"/>
        <v>77.599999999999994</v>
      </c>
      <c r="O254" s="11" t="str">
        <f>LOOKUP(N254,Settings!$A$10:$A$14,Settings!$B$10:$B$14)</f>
        <v>B</v>
      </c>
      <c r="P254" s="11" t="str">
        <f>IF(N254&gt;=Settings!$B$3,"Pass","Fail")</f>
        <v>Pass</v>
      </c>
      <c r="Q254" s="11" t="str">
        <f>LOOKUP(D254,Settings!$A$19:$A$23,Settings!$B$19:$B$23)</f>
        <v>15 to 19 hrs</v>
      </c>
      <c r="R254" s="11" t="str">
        <f>LOOKUP(E254,Settings!$A$28:$A$31,Settings!$B$28:$B$31)</f>
        <v>85 to 94%</v>
      </c>
      <c r="S254" s="11" t="str">
        <f>IF(OR(N254&lt;Settings!$B$4,E254&lt;Settings!$B$5),"Yes","No")</f>
        <v>No</v>
      </c>
      <c r="T254" s="11">
        <f>RANK(N254,$N$2:$N$301,0)+COUNTIF($N$2:N254,N254)-1</f>
        <v>15</v>
      </c>
    </row>
    <row r="255" spans="1:20" x14ac:dyDescent="0.3">
      <c r="A255" s="24" t="s">
        <v>361</v>
      </c>
      <c r="B255" s="24" t="s">
        <v>45</v>
      </c>
      <c r="C255" s="24" t="s">
        <v>59</v>
      </c>
      <c r="D255" s="25">
        <v>11.4</v>
      </c>
      <c r="E255" s="24">
        <v>86</v>
      </c>
      <c r="F255" s="24" t="s">
        <v>64</v>
      </c>
      <c r="G255" s="24" t="s">
        <v>67</v>
      </c>
      <c r="H255" s="24" t="s">
        <v>68</v>
      </c>
      <c r="I255" s="24">
        <v>62</v>
      </c>
      <c r="J255" s="24">
        <v>54</v>
      </c>
      <c r="K255" s="24">
        <v>58</v>
      </c>
      <c r="L255" s="24">
        <v>73</v>
      </c>
      <c r="M255" s="24">
        <v>63</v>
      </c>
      <c r="N255" s="26">
        <f t="shared" si="3"/>
        <v>62</v>
      </c>
      <c r="O255" s="11" t="str">
        <f>LOOKUP(N255,Settings!$A$10:$A$14,Settings!$B$10:$B$14)</f>
        <v>C</v>
      </c>
      <c r="P255" s="11" t="str">
        <f>IF(N255&gt;=Settings!$B$3,"Pass","Fail")</f>
        <v>Pass</v>
      </c>
      <c r="Q255" s="11" t="str">
        <f>LOOKUP(D255,Settings!$A$19:$A$23,Settings!$B$19:$B$23)</f>
        <v>10 to 14 hrs</v>
      </c>
      <c r="R255" s="11" t="str">
        <f>LOOKUP(E255,Settings!$A$28:$A$31,Settings!$B$28:$B$31)</f>
        <v>85 to 94%</v>
      </c>
      <c r="S255" s="11" t="str">
        <f>IF(OR(N255&lt;Settings!$B$4,E255&lt;Settings!$B$5),"Yes","No")</f>
        <v>No</v>
      </c>
      <c r="T255" s="11">
        <f>RANK(N255,$N$2:$N$301,0)+COUNTIF($N$2:N255,N255)-1</f>
        <v>155</v>
      </c>
    </row>
    <row r="256" spans="1:20" x14ac:dyDescent="0.3">
      <c r="A256" s="24" t="s">
        <v>362</v>
      </c>
      <c r="B256" s="24" t="s">
        <v>45</v>
      </c>
      <c r="C256" s="24" t="s">
        <v>57</v>
      </c>
      <c r="D256" s="25">
        <v>6.9</v>
      </c>
      <c r="E256" s="24">
        <v>97</v>
      </c>
      <c r="F256" s="24" t="s">
        <v>62</v>
      </c>
      <c r="G256" s="24" t="s">
        <v>67</v>
      </c>
      <c r="H256" s="24" t="s">
        <v>67</v>
      </c>
      <c r="I256" s="24">
        <v>49</v>
      </c>
      <c r="J256" s="24">
        <v>66</v>
      </c>
      <c r="K256" s="24">
        <v>67</v>
      </c>
      <c r="L256" s="24">
        <v>65</v>
      </c>
      <c r="M256" s="24">
        <v>67</v>
      </c>
      <c r="N256" s="26">
        <f t="shared" si="3"/>
        <v>62.8</v>
      </c>
      <c r="O256" s="11" t="str">
        <f>LOOKUP(N256,Settings!$A$10:$A$14,Settings!$B$10:$B$14)</f>
        <v>C</v>
      </c>
      <c r="P256" s="11" t="str">
        <f>IF(N256&gt;=Settings!$B$3,"Pass","Fail")</f>
        <v>Pass</v>
      </c>
      <c r="Q256" s="11" t="str">
        <f>LOOKUP(D256,Settings!$A$19:$A$23,Settings!$B$19:$B$23)</f>
        <v>5 to 9 hrs</v>
      </c>
      <c r="R256" s="11" t="str">
        <f>LOOKUP(E256,Settings!$A$28:$A$31,Settings!$B$28:$B$31)</f>
        <v>95 to 100%</v>
      </c>
      <c r="S256" s="11" t="str">
        <f>IF(OR(N256&lt;Settings!$B$4,E256&lt;Settings!$B$5),"Yes","No")</f>
        <v>No</v>
      </c>
      <c r="T256" s="11">
        <f>RANK(N256,$N$2:$N$301,0)+COUNTIF($N$2:N256,N256)-1</f>
        <v>140</v>
      </c>
    </row>
    <row r="257" spans="1:20" x14ac:dyDescent="0.3">
      <c r="A257" s="24" t="s">
        <v>363</v>
      </c>
      <c r="B257" s="24" t="s">
        <v>46</v>
      </c>
      <c r="C257" s="24" t="s">
        <v>57</v>
      </c>
      <c r="D257" s="25">
        <v>12.6</v>
      </c>
      <c r="E257" s="24">
        <v>87</v>
      </c>
      <c r="F257" s="24" t="s">
        <v>63</v>
      </c>
      <c r="G257" s="24" t="s">
        <v>67</v>
      </c>
      <c r="H257" s="24" t="s">
        <v>67</v>
      </c>
      <c r="I257" s="24">
        <v>64</v>
      </c>
      <c r="J257" s="24">
        <v>77</v>
      </c>
      <c r="K257" s="24">
        <v>69</v>
      </c>
      <c r="L257" s="24">
        <v>65</v>
      </c>
      <c r="M257" s="24">
        <v>64</v>
      </c>
      <c r="N257" s="26">
        <f t="shared" si="3"/>
        <v>67.8</v>
      </c>
      <c r="O257" s="11" t="str">
        <f>LOOKUP(N257,Settings!$A$10:$A$14,Settings!$B$10:$B$14)</f>
        <v>C</v>
      </c>
      <c r="P257" s="11" t="str">
        <f>IF(N257&gt;=Settings!$B$3,"Pass","Fail")</f>
        <v>Pass</v>
      </c>
      <c r="Q257" s="11" t="str">
        <f>LOOKUP(D257,Settings!$A$19:$A$23,Settings!$B$19:$B$23)</f>
        <v>10 to 14 hrs</v>
      </c>
      <c r="R257" s="11" t="str">
        <f>LOOKUP(E257,Settings!$A$28:$A$31,Settings!$B$28:$B$31)</f>
        <v>85 to 94%</v>
      </c>
      <c r="S257" s="11" t="str">
        <f>IF(OR(N257&lt;Settings!$B$4,E257&lt;Settings!$B$5),"Yes","No")</f>
        <v>No</v>
      </c>
      <c r="T257" s="11">
        <f>RANK(N257,$N$2:$N$301,0)+COUNTIF($N$2:N257,N257)-1</f>
        <v>79</v>
      </c>
    </row>
    <row r="258" spans="1:20" x14ac:dyDescent="0.3">
      <c r="A258" s="24" t="s">
        <v>364</v>
      </c>
      <c r="B258" s="24" t="s">
        <v>46</v>
      </c>
      <c r="C258" s="24" t="s">
        <v>57</v>
      </c>
      <c r="D258" s="25">
        <v>9.1</v>
      </c>
      <c r="E258" s="24">
        <v>85</v>
      </c>
      <c r="F258" s="24" t="s">
        <v>63</v>
      </c>
      <c r="G258" s="24" t="s">
        <v>67</v>
      </c>
      <c r="H258" s="24" t="s">
        <v>67</v>
      </c>
      <c r="I258" s="24">
        <v>60</v>
      </c>
      <c r="J258" s="24">
        <v>66</v>
      </c>
      <c r="K258" s="24">
        <v>50</v>
      </c>
      <c r="L258" s="24">
        <v>61</v>
      </c>
      <c r="M258" s="24">
        <v>59</v>
      </c>
      <c r="N258" s="26">
        <f t="shared" ref="N258:N321" si="4">ROUND(AVERAGE(I258:M258),1)</f>
        <v>59.2</v>
      </c>
      <c r="O258" s="11" t="str">
        <f>LOOKUP(N258,Settings!$A$10:$A$14,Settings!$B$10:$B$14)</f>
        <v>D</v>
      </c>
      <c r="P258" s="11" t="str">
        <f>IF(N258&gt;=Settings!$B$3,"Pass","Fail")</f>
        <v>Pass</v>
      </c>
      <c r="Q258" s="11" t="str">
        <f>LOOKUP(D258,Settings!$A$19:$A$23,Settings!$B$19:$B$23)</f>
        <v>5 to 9 hrs</v>
      </c>
      <c r="R258" s="11" t="str">
        <f>LOOKUP(E258,Settings!$A$28:$A$31,Settings!$B$28:$B$31)</f>
        <v>85 to 94%</v>
      </c>
      <c r="S258" s="11" t="str">
        <f>IF(OR(N258&lt;Settings!$B$4,E258&lt;Settings!$B$5),"Yes","No")</f>
        <v>No</v>
      </c>
      <c r="T258" s="11">
        <f>RANK(N258,$N$2:$N$301,0)+COUNTIF($N$2:N258,N258)-1</f>
        <v>186</v>
      </c>
    </row>
    <row r="259" spans="1:20" x14ac:dyDescent="0.3">
      <c r="A259" s="24" t="s">
        <v>365</v>
      </c>
      <c r="B259" s="24" t="s">
        <v>45</v>
      </c>
      <c r="C259" s="24" t="s">
        <v>58</v>
      </c>
      <c r="D259" s="25">
        <v>9.4</v>
      </c>
      <c r="E259" s="24">
        <v>80</v>
      </c>
      <c r="F259" s="24" t="s">
        <v>64</v>
      </c>
      <c r="G259" s="24" t="s">
        <v>67</v>
      </c>
      <c r="H259" s="24" t="s">
        <v>67</v>
      </c>
      <c r="I259" s="24">
        <v>68</v>
      </c>
      <c r="J259" s="24">
        <v>77</v>
      </c>
      <c r="K259" s="24">
        <v>70</v>
      </c>
      <c r="L259" s="24">
        <v>64</v>
      </c>
      <c r="M259" s="24">
        <v>64</v>
      </c>
      <c r="N259" s="26">
        <f t="shared" si="4"/>
        <v>68.599999999999994</v>
      </c>
      <c r="O259" s="11" t="str">
        <f>LOOKUP(N259,Settings!$A$10:$A$14,Settings!$B$10:$B$14)</f>
        <v>C</v>
      </c>
      <c r="P259" s="11" t="str">
        <f>IF(N259&gt;=Settings!$B$3,"Pass","Fail")</f>
        <v>Pass</v>
      </c>
      <c r="Q259" s="11" t="str">
        <f>LOOKUP(D259,Settings!$A$19:$A$23,Settings!$B$19:$B$23)</f>
        <v>5 to 9 hrs</v>
      </c>
      <c r="R259" s="11" t="str">
        <f>LOOKUP(E259,Settings!$A$28:$A$31,Settings!$B$28:$B$31)</f>
        <v>75 to 84%</v>
      </c>
      <c r="S259" s="11" t="str">
        <f>IF(OR(N259&lt;Settings!$B$4,E259&lt;Settings!$B$5),"Yes","No")</f>
        <v>No</v>
      </c>
      <c r="T259" s="11">
        <f>RANK(N259,$N$2:$N$301,0)+COUNTIF($N$2:N259,N259)-1</f>
        <v>70</v>
      </c>
    </row>
    <row r="260" spans="1:20" x14ac:dyDescent="0.3">
      <c r="A260" s="24" t="s">
        <v>366</v>
      </c>
      <c r="B260" s="24" t="s">
        <v>45</v>
      </c>
      <c r="C260" s="24" t="s">
        <v>58</v>
      </c>
      <c r="D260" s="25">
        <v>15</v>
      </c>
      <c r="E260" s="24">
        <v>92</v>
      </c>
      <c r="F260" s="24" t="s">
        <v>63</v>
      </c>
      <c r="G260" s="24" t="s">
        <v>67</v>
      </c>
      <c r="H260" s="24" t="s">
        <v>68</v>
      </c>
      <c r="I260" s="24">
        <v>74</v>
      </c>
      <c r="J260" s="24">
        <v>76</v>
      </c>
      <c r="K260" s="24">
        <v>93</v>
      </c>
      <c r="L260" s="24">
        <v>81</v>
      </c>
      <c r="M260" s="24">
        <v>88</v>
      </c>
      <c r="N260" s="26">
        <f t="shared" si="4"/>
        <v>82.4</v>
      </c>
      <c r="O260" s="11" t="str">
        <f>LOOKUP(N260,Settings!$A$10:$A$14,Settings!$B$10:$B$14)</f>
        <v>A</v>
      </c>
      <c r="P260" s="11" t="str">
        <f>IF(N260&gt;=Settings!$B$3,"Pass","Fail")</f>
        <v>Pass</v>
      </c>
      <c r="Q260" s="11" t="str">
        <f>LOOKUP(D260,Settings!$A$19:$A$23,Settings!$B$19:$B$23)</f>
        <v>15 to 19 hrs</v>
      </c>
      <c r="R260" s="11" t="str">
        <f>LOOKUP(E260,Settings!$A$28:$A$31,Settings!$B$28:$B$31)</f>
        <v>85 to 94%</v>
      </c>
      <c r="S260" s="11" t="str">
        <f>IF(OR(N260&lt;Settings!$B$4,E260&lt;Settings!$B$5),"Yes","No")</f>
        <v>No</v>
      </c>
      <c r="T260" s="11">
        <f>RANK(N260,$N$2:$N$301,0)+COUNTIF($N$2:N260,N260)-1</f>
        <v>3</v>
      </c>
    </row>
    <row r="261" spans="1:20" x14ac:dyDescent="0.3">
      <c r="A261" s="24" t="s">
        <v>367</v>
      </c>
      <c r="B261" s="24" t="s">
        <v>46</v>
      </c>
      <c r="C261" s="24" t="s">
        <v>58</v>
      </c>
      <c r="D261" s="25">
        <v>5.3</v>
      </c>
      <c r="E261" s="24">
        <v>88</v>
      </c>
      <c r="F261" s="24" t="s">
        <v>63</v>
      </c>
      <c r="G261" s="24" t="s">
        <v>68</v>
      </c>
      <c r="H261" s="24" t="s">
        <v>67</v>
      </c>
      <c r="I261" s="24">
        <v>63</v>
      </c>
      <c r="J261" s="24">
        <v>55</v>
      </c>
      <c r="K261" s="24">
        <v>57</v>
      </c>
      <c r="L261" s="24">
        <v>56</v>
      </c>
      <c r="M261" s="24">
        <v>50</v>
      </c>
      <c r="N261" s="26">
        <f t="shared" si="4"/>
        <v>56.2</v>
      </c>
      <c r="O261" s="11" t="str">
        <f>LOOKUP(N261,Settings!$A$10:$A$14,Settings!$B$10:$B$14)</f>
        <v>D</v>
      </c>
      <c r="P261" s="11" t="str">
        <f>IF(N261&gt;=Settings!$B$3,"Pass","Fail")</f>
        <v>Pass</v>
      </c>
      <c r="Q261" s="11" t="str">
        <f>LOOKUP(D261,Settings!$A$19:$A$23,Settings!$B$19:$B$23)</f>
        <v>5 to 9 hrs</v>
      </c>
      <c r="R261" s="11" t="str">
        <f>LOOKUP(E261,Settings!$A$28:$A$31,Settings!$B$28:$B$31)</f>
        <v>85 to 94%</v>
      </c>
      <c r="S261" s="11" t="str">
        <f>IF(OR(N261&lt;Settings!$B$4,E261&lt;Settings!$B$5),"Yes","No")</f>
        <v>No</v>
      </c>
      <c r="T261" s="11">
        <f>RANK(N261,$N$2:$N$301,0)+COUNTIF($N$2:N261,N261)-1</f>
        <v>215</v>
      </c>
    </row>
    <row r="262" spans="1:20" x14ac:dyDescent="0.3">
      <c r="A262" s="24" t="s">
        <v>368</v>
      </c>
      <c r="B262" s="24" t="s">
        <v>45</v>
      </c>
      <c r="C262" s="24" t="s">
        <v>57</v>
      </c>
      <c r="D262" s="25">
        <v>17.2</v>
      </c>
      <c r="E262" s="24">
        <v>88</v>
      </c>
      <c r="F262" s="24" t="s">
        <v>63</v>
      </c>
      <c r="G262" s="24" t="s">
        <v>67</v>
      </c>
      <c r="H262" s="24" t="s">
        <v>68</v>
      </c>
      <c r="I262" s="24">
        <v>67</v>
      </c>
      <c r="J262" s="24">
        <v>70</v>
      </c>
      <c r="K262" s="24">
        <v>80</v>
      </c>
      <c r="L262" s="24">
        <v>69</v>
      </c>
      <c r="M262" s="24">
        <v>77</v>
      </c>
      <c r="N262" s="26">
        <f t="shared" si="4"/>
        <v>72.599999999999994</v>
      </c>
      <c r="O262" s="11" t="str">
        <f>LOOKUP(N262,Settings!$A$10:$A$14,Settings!$B$10:$B$14)</f>
        <v>B</v>
      </c>
      <c r="P262" s="11" t="str">
        <f>IF(N262&gt;=Settings!$B$3,"Pass","Fail")</f>
        <v>Pass</v>
      </c>
      <c r="Q262" s="11" t="str">
        <f>LOOKUP(D262,Settings!$A$19:$A$23,Settings!$B$19:$B$23)</f>
        <v>15 to 19 hrs</v>
      </c>
      <c r="R262" s="11" t="str">
        <f>LOOKUP(E262,Settings!$A$28:$A$31,Settings!$B$28:$B$31)</f>
        <v>85 to 94%</v>
      </c>
      <c r="S262" s="11" t="str">
        <f>IF(OR(N262&lt;Settings!$B$4,E262&lt;Settings!$B$5),"Yes","No")</f>
        <v>No</v>
      </c>
      <c r="T262" s="11">
        <f>RANK(N262,$N$2:$N$301,0)+COUNTIF($N$2:N262,N262)-1</f>
        <v>35</v>
      </c>
    </row>
    <row r="263" spans="1:20" x14ac:dyDescent="0.3">
      <c r="A263" s="24" t="s">
        <v>369</v>
      </c>
      <c r="B263" s="24" t="s">
        <v>46</v>
      </c>
      <c r="C263" s="24" t="s">
        <v>57</v>
      </c>
      <c r="D263" s="25">
        <v>5</v>
      </c>
      <c r="E263" s="24">
        <v>78</v>
      </c>
      <c r="F263" s="24" t="s">
        <v>63</v>
      </c>
      <c r="G263" s="24" t="s">
        <v>67</v>
      </c>
      <c r="H263" s="24" t="s">
        <v>68</v>
      </c>
      <c r="I263" s="24">
        <v>55</v>
      </c>
      <c r="J263" s="24">
        <v>57</v>
      </c>
      <c r="K263" s="24">
        <v>58</v>
      </c>
      <c r="L263" s="24">
        <v>58</v>
      </c>
      <c r="M263" s="24">
        <v>66</v>
      </c>
      <c r="N263" s="26">
        <f t="shared" si="4"/>
        <v>58.8</v>
      </c>
      <c r="O263" s="11" t="str">
        <f>LOOKUP(N263,Settings!$A$10:$A$14,Settings!$B$10:$B$14)</f>
        <v>D</v>
      </c>
      <c r="P263" s="11" t="str">
        <f>IF(N263&gt;=Settings!$B$3,"Pass","Fail")</f>
        <v>Pass</v>
      </c>
      <c r="Q263" s="11" t="str">
        <f>LOOKUP(D263,Settings!$A$19:$A$23,Settings!$B$19:$B$23)</f>
        <v>5 to 9 hrs</v>
      </c>
      <c r="R263" s="11" t="str">
        <f>LOOKUP(E263,Settings!$A$28:$A$31,Settings!$B$28:$B$31)</f>
        <v>75 to 84%</v>
      </c>
      <c r="S263" s="11" t="str">
        <f>IF(OR(N263&lt;Settings!$B$4,E263&lt;Settings!$B$5),"Yes","No")</f>
        <v>No</v>
      </c>
      <c r="T263" s="11">
        <f>RANK(N263,$N$2:$N$301,0)+COUNTIF($N$2:N263,N263)-1</f>
        <v>189</v>
      </c>
    </row>
    <row r="264" spans="1:20" x14ac:dyDescent="0.3">
      <c r="A264" s="24" t="s">
        <v>370</v>
      </c>
      <c r="B264" s="24" t="s">
        <v>45</v>
      </c>
      <c r="C264" s="24" t="s">
        <v>59</v>
      </c>
      <c r="D264" s="25">
        <v>8.6999999999999993</v>
      </c>
      <c r="E264" s="24">
        <v>86</v>
      </c>
      <c r="F264" s="24" t="s">
        <v>64</v>
      </c>
      <c r="G264" s="24" t="s">
        <v>68</v>
      </c>
      <c r="H264" s="24" t="s">
        <v>67</v>
      </c>
      <c r="I264" s="24">
        <v>73</v>
      </c>
      <c r="J264" s="24">
        <v>60</v>
      </c>
      <c r="K264" s="24">
        <v>55</v>
      </c>
      <c r="L264" s="24">
        <v>65</v>
      </c>
      <c r="M264" s="24">
        <v>63</v>
      </c>
      <c r="N264" s="26">
        <f t="shared" si="4"/>
        <v>63.2</v>
      </c>
      <c r="O264" s="11" t="str">
        <f>LOOKUP(N264,Settings!$A$10:$A$14,Settings!$B$10:$B$14)</f>
        <v>C</v>
      </c>
      <c r="P264" s="11" t="str">
        <f>IF(N264&gt;=Settings!$B$3,"Pass","Fail")</f>
        <v>Pass</v>
      </c>
      <c r="Q264" s="11" t="str">
        <f>LOOKUP(D264,Settings!$A$19:$A$23,Settings!$B$19:$B$23)</f>
        <v>5 to 9 hrs</v>
      </c>
      <c r="R264" s="11" t="str">
        <f>LOOKUP(E264,Settings!$A$28:$A$31,Settings!$B$28:$B$31)</f>
        <v>85 to 94%</v>
      </c>
      <c r="S264" s="11" t="str">
        <f>IF(OR(N264&lt;Settings!$B$4,E264&lt;Settings!$B$5),"Yes","No")</f>
        <v>No</v>
      </c>
      <c r="T264" s="11">
        <f>RANK(N264,$N$2:$N$301,0)+COUNTIF($N$2:N264,N264)-1</f>
        <v>135</v>
      </c>
    </row>
    <row r="265" spans="1:20" x14ac:dyDescent="0.3">
      <c r="A265" s="24" t="s">
        <v>371</v>
      </c>
      <c r="B265" s="24" t="s">
        <v>45</v>
      </c>
      <c r="C265" s="24" t="s">
        <v>58</v>
      </c>
      <c r="D265" s="25">
        <v>21.6</v>
      </c>
      <c r="E265" s="24">
        <v>88</v>
      </c>
      <c r="F265" s="24" t="s">
        <v>63</v>
      </c>
      <c r="G265" s="24" t="s">
        <v>67</v>
      </c>
      <c r="H265" s="24" t="s">
        <v>67</v>
      </c>
      <c r="I265" s="24">
        <v>77</v>
      </c>
      <c r="J265" s="24">
        <v>75</v>
      </c>
      <c r="K265" s="24">
        <v>65</v>
      </c>
      <c r="L265" s="24">
        <v>69</v>
      </c>
      <c r="M265" s="24">
        <v>75</v>
      </c>
      <c r="N265" s="26">
        <f t="shared" si="4"/>
        <v>72.2</v>
      </c>
      <c r="O265" s="11" t="str">
        <f>LOOKUP(N265,Settings!$A$10:$A$14,Settings!$B$10:$B$14)</f>
        <v>B</v>
      </c>
      <c r="P265" s="11" t="str">
        <f>IF(N265&gt;=Settings!$B$3,"Pass","Fail")</f>
        <v>Pass</v>
      </c>
      <c r="Q265" s="11" t="str">
        <f>LOOKUP(D265,Settings!$A$19:$A$23,Settings!$B$19:$B$23)</f>
        <v>20+ hrs</v>
      </c>
      <c r="R265" s="11" t="str">
        <f>LOOKUP(E265,Settings!$A$28:$A$31,Settings!$B$28:$B$31)</f>
        <v>85 to 94%</v>
      </c>
      <c r="S265" s="11" t="str">
        <f>IF(OR(N265&lt;Settings!$B$4,E265&lt;Settings!$B$5),"Yes","No")</f>
        <v>No</v>
      </c>
      <c r="T265" s="11">
        <f>RANK(N265,$N$2:$N$301,0)+COUNTIF($N$2:N265,N265)-1</f>
        <v>38</v>
      </c>
    </row>
    <row r="266" spans="1:20" x14ac:dyDescent="0.3">
      <c r="A266" s="24" t="s">
        <v>372</v>
      </c>
      <c r="B266" s="24" t="s">
        <v>46</v>
      </c>
      <c r="C266" s="24" t="s">
        <v>58</v>
      </c>
      <c r="D266" s="25">
        <v>17.600000000000001</v>
      </c>
      <c r="E266" s="24">
        <v>77</v>
      </c>
      <c r="F266" s="24" t="s">
        <v>62</v>
      </c>
      <c r="G266" s="24" t="s">
        <v>67</v>
      </c>
      <c r="H266" s="24" t="s">
        <v>68</v>
      </c>
      <c r="I266" s="24">
        <v>52</v>
      </c>
      <c r="J266" s="24">
        <v>48</v>
      </c>
      <c r="K266" s="24">
        <v>55</v>
      </c>
      <c r="L266" s="24">
        <v>48</v>
      </c>
      <c r="M266" s="24">
        <v>53</v>
      </c>
      <c r="N266" s="26">
        <f t="shared" si="4"/>
        <v>51.2</v>
      </c>
      <c r="O266" s="11" t="str">
        <f>LOOKUP(N266,Settings!$A$10:$A$14,Settings!$B$10:$B$14)</f>
        <v>D</v>
      </c>
      <c r="P266" s="11" t="str">
        <f>IF(N266&gt;=Settings!$B$3,"Pass","Fail")</f>
        <v>Pass</v>
      </c>
      <c r="Q266" s="11" t="str">
        <f>LOOKUP(D266,Settings!$A$19:$A$23,Settings!$B$19:$B$23)</f>
        <v>15 to 19 hrs</v>
      </c>
      <c r="R266" s="11" t="str">
        <f>LOOKUP(E266,Settings!$A$28:$A$31,Settings!$B$28:$B$31)</f>
        <v>75 to 84%</v>
      </c>
      <c r="S266" s="11" t="str">
        <f>IF(OR(N266&lt;Settings!$B$4,E266&lt;Settings!$B$5),"Yes","No")</f>
        <v>Yes</v>
      </c>
      <c r="T266" s="11">
        <f>RANK(N266,$N$2:$N$301,0)+COUNTIF($N$2:N266,N266)-1</f>
        <v>256</v>
      </c>
    </row>
    <row r="267" spans="1:20" x14ac:dyDescent="0.3">
      <c r="A267" s="24" t="s">
        <v>373</v>
      </c>
      <c r="B267" s="24" t="s">
        <v>45</v>
      </c>
      <c r="C267" s="24" t="s">
        <v>58</v>
      </c>
      <c r="D267" s="25">
        <v>12.5</v>
      </c>
      <c r="E267" s="24">
        <v>74</v>
      </c>
      <c r="F267" s="24" t="s">
        <v>64</v>
      </c>
      <c r="G267" s="24" t="s">
        <v>68</v>
      </c>
      <c r="H267" s="24" t="s">
        <v>68</v>
      </c>
      <c r="I267" s="24">
        <v>60</v>
      </c>
      <c r="J267" s="24">
        <v>70</v>
      </c>
      <c r="K267" s="24">
        <v>58</v>
      </c>
      <c r="L267" s="24">
        <v>73</v>
      </c>
      <c r="M267" s="24">
        <v>59</v>
      </c>
      <c r="N267" s="26">
        <f t="shared" si="4"/>
        <v>64</v>
      </c>
      <c r="O267" s="11" t="str">
        <f>LOOKUP(N267,Settings!$A$10:$A$14,Settings!$B$10:$B$14)</f>
        <v>C</v>
      </c>
      <c r="P267" s="11" t="str">
        <f>IF(N267&gt;=Settings!$B$3,"Pass","Fail")</f>
        <v>Pass</v>
      </c>
      <c r="Q267" s="11" t="str">
        <f>LOOKUP(D267,Settings!$A$19:$A$23,Settings!$B$19:$B$23)</f>
        <v>10 to 14 hrs</v>
      </c>
      <c r="R267" s="11" t="str">
        <f>LOOKUP(E267,Settings!$A$28:$A$31,Settings!$B$28:$B$31)</f>
        <v>Below 75%</v>
      </c>
      <c r="S267" s="11" t="str">
        <f>IF(OR(N267&lt;Settings!$B$4,E267&lt;Settings!$B$5),"Yes","No")</f>
        <v>Yes</v>
      </c>
      <c r="T267" s="11">
        <f>RANK(N267,$N$2:$N$301,0)+COUNTIF($N$2:N267,N267)-1</f>
        <v>130</v>
      </c>
    </row>
    <row r="268" spans="1:20" x14ac:dyDescent="0.3">
      <c r="A268" s="24" t="s">
        <v>374</v>
      </c>
      <c r="B268" s="24" t="s">
        <v>45</v>
      </c>
      <c r="C268" s="24" t="s">
        <v>59</v>
      </c>
      <c r="D268" s="25">
        <v>7.3</v>
      </c>
      <c r="E268" s="24">
        <v>89</v>
      </c>
      <c r="F268" s="24" t="s">
        <v>64</v>
      </c>
      <c r="G268" s="24" t="s">
        <v>68</v>
      </c>
      <c r="H268" s="24" t="s">
        <v>67</v>
      </c>
      <c r="I268" s="24">
        <v>54</v>
      </c>
      <c r="J268" s="24">
        <v>55</v>
      </c>
      <c r="K268" s="24">
        <v>41</v>
      </c>
      <c r="L268" s="24">
        <v>51</v>
      </c>
      <c r="M268" s="24">
        <v>51</v>
      </c>
      <c r="N268" s="26">
        <f t="shared" si="4"/>
        <v>50.4</v>
      </c>
      <c r="O268" s="11" t="str">
        <f>LOOKUP(N268,Settings!$A$10:$A$14,Settings!$B$10:$B$14)</f>
        <v>D</v>
      </c>
      <c r="P268" s="11" t="str">
        <f>IF(N268&gt;=Settings!$B$3,"Pass","Fail")</f>
        <v>Pass</v>
      </c>
      <c r="Q268" s="11" t="str">
        <f>LOOKUP(D268,Settings!$A$19:$A$23,Settings!$B$19:$B$23)</f>
        <v>5 to 9 hrs</v>
      </c>
      <c r="R268" s="11" t="str">
        <f>LOOKUP(E268,Settings!$A$28:$A$31,Settings!$B$28:$B$31)</f>
        <v>85 to 94%</v>
      </c>
      <c r="S268" s="11" t="str">
        <f>IF(OR(N268&lt;Settings!$B$4,E268&lt;Settings!$B$5),"Yes","No")</f>
        <v>Yes</v>
      </c>
      <c r="T268" s="11">
        <f>RANK(N268,$N$2:$N$301,0)+COUNTIF($N$2:N268,N268)-1</f>
        <v>265</v>
      </c>
    </row>
    <row r="269" spans="1:20" x14ac:dyDescent="0.3">
      <c r="A269" s="24" t="s">
        <v>375</v>
      </c>
      <c r="B269" s="24" t="s">
        <v>45</v>
      </c>
      <c r="C269" s="24" t="s">
        <v>57</v>
      </c>
      <c r="D269" s="25">
        <v>9.4</v>
      </c>
      <c r="E269" s="24">
        <v>64</v>
      </c>
      <c r="F269" s="24" t="s">
        <v>64</v>
      </c>
      <c r="G269" s="24" t="s">
        <v>67</v>
      </c>
      <c r="H269" s="24" t="s">
        <v>67</v>
      </c>
      <c r="I269" s="24">
        <v>71</v>
      </c>
      <c r="J269" s="24">
        <v>68</v>
      </c>
      <c r="K269" s="24">
        <v>63</v>
      </c>
      <c r="L269" s="24">
        <v>57</v>
      </c>
      <c r="M269" s="24">
        <v>64</v>
      </c>
      <c r="N269" s="26">
        <f t="shared" si="4"/>
        <v>64.599999999999994</v>
      </c>
      <c r="O269" s="11" t="str">
        <f>LOOKUP(N269,Settings!$A$10:$A$14,Settings!$B$10:$B$14)</f>
        <v>C</v>
      </c>
      <c r="P269" s="11" t="str">
        <f>IF(N269&gt;=Settings!$B$3,"Pass","Fail")</f>
        <v>Pass</v>
      </c>
      <c r="Q269" s="11" t="str">
        <f>LOOKUP(D269,Settings!$A$19:$A$23,Settings!$B$19:$B$23)</f>
        <v>5 to 9 hrs</v>
      </c>
      <c r="R269" s="11" t="str">
        <f>LOOKUP(E269,Settings!$A$28:$A$31,Settings!$B$28:$B$31)</f>
        <v>Below 75%</v>
      </c>
      <c r="S269" s="11" t="str">
        <f>IF(OR(N269&lt;Settings!$B$4,E269&lt;Settings!$B$5),"Yes","No")</f>
        <v>Yes</v>
      </c>
      <c r="T269" s="11">
        <f>RANK(N269,$N$2:$N$301,0)+COUNTIF($N$2:N269,N269)-1</f>
        <v>121</v>
      </c>
    </row>
    <row r="270" spans="1:20" x14ac:dyDescent="0.3">
      <c r="A270" s="24" t="s">
        <v>376</v>
      </c>
      <c r="B270" s="24" t="s">
        <v>45</v>
      </c>
      <c r="C270" s="24" t="s">
        <v>58</v>
      </c>
      <c r="D270" s="25">
        <v>12.4</v>
      </c>
      <c r="E270" s="24">
        <v>88</v>
      </c>
      <c r="F270" s="24" t="s">
        <v>62</v>
      </c>
      <c r="G270" s="24" t="s">
        <v>68</v>
      </c>
      <c r="H270" s="24" t="s">
        <v>68</v>
      </c>
      <c r="I270" s="24">
        <v>54</v>
      </c>
      <c r="J270" s="24">
        <v>54</v>
      </c>
      <c r="K270" s="24">
        <v>63</v>
      </c>
      <c r="L270" s="24">
        <v>52</v>
      </c>
      <c r="M270" s="24">
        <v>60</v>
      </c>
      <c r="N270" s="26">
        <f t="shared" si="4"/>
        <v>56.6</v>
      </c>
      <c r="O270" s="11" t="str">
        <f>LOOKUP(N270,Settings!$A$10:$A$14,Settings!$B$10:$B$14)</f>
        <v>D</v>
      </c>
      <c r="P270" s="11" t="str">
        <f>IF(N270&gt;=Settings!$B$3,"Pass","Fail")</f>
        <v>Pass</v>
      </c>
      <c r="Q270" s="11" t="str">
        <f>LOOKUP(D270,Settings!$A$19:$A$23,Settings!$B$19:$B$23)</f>
        <v>10 to 14 hrs</v>
      </c>
      <c r="R270" s="11" t="str">
        <f>LOOKUP(E270,Settings!$A$28:$A$31,Settings!$B$28:$B$31)</f>
        <v>85 to 94%</v>
      </c>
      <c r="S270" s="11" t="str">
        <f>IF(OR(N270&lt;Settings!$B$4,E270&lt;Settings!$B$5),"Yes","No")</f>
        <v>No</v>
      </c>
      <c r="T270" s="11">
        <f>RANK(N270,$N$2:$N$301,0)+COUNTIF($N$2:N270,N270)-1</f>
        <v>208</v>
      </c>
    </row>
    <row r="271" spans="1:20" x14ac:dyDescent="0.3">
      <c r="A271" s="24" t="s">
        <v>377</v>
      </c>
      <c r="B271" s="24" t="s">
        <v>45</v>
      </c>
      <c r="C271" s="24" t="s">
        <v>58</v>
      </c>
      <c r="D271" s="25">
        <v>12.2</v>
      </c>
      <c r="E271" s="24">
        <v>82</v>
      </c>
      <c r="F271" s="24" t="s">
        <v>62</v>
      </c>
      <c r="G271" s="24" t="s">
        <v>67</v>
      </c>
      <c r="H271" s="24" t="s">
        <v>67</v>
      </c>
      <c r="I271" s="24">
        <v>64</v>
      </c>
      <c r="J271" s="24">
        <v>66</v>
      </c>
      <c r="K271" s="24">
        <v>56</v>
      </c>
      <c r="L271" s="24">
        <v>66</v>
      </c>
      <c r="M271" s="24">
        <v>58</v>
      </c>
      <c r="N271" s="26">
        <f t="shared" si="4"/>
        <v>62</v>
      </c>
      <c r="O271" s="11" t="str">
        <f>LOOKUP(N271,Settings!$A$10:$A$14,Settings!$B$10:$B$14)</f>
        <v>C</v>
      </c>
      <c r="P271" s="11" t="str">
        <f>IF(N271&gt;=Settings!$B$3,"Pass","Fail")</f>
        <v>Pass</v>
      </c>
      <c r="Q271" s="11" t="str">
        <f>LOOKUP(D271,Settings!$A$19:$A$23,Settings!$B$19:$B$23)</f>
        <v>10 to 14 hrs</v>
      </c>
      <c r="R271" s="11" t="str">
        <f>LOOKUP(E271,Settings!$A$28:$A$31,Settings!$B$28:$B$31)</f>
        <v>75 to 84%</v>
      </c>
      <c r="S271" s="11" t="str">
        <f>IF(OR(N271&lt;Settings!$B$4,E271&lt;Settings!$B$5),"Yes","No")</f>
        <v>No</v>
      </c>
      <c r="T271" s="11">
        <f>RANK(N271,$N$2:$N$301,0)+COUNTIF($N$2:N271,N271)-1</f>
        <v>156</v>
      </c>
    </row>
    <row r="272" spans="1:20" x14ac:dyDescent="0.3">
      <c r="A272" s="24" t="s">
        <v>378</v>
      </c>
      <c r="B272" s="24" t="s">
        <v>45</v>
      </c>
      <c r="C272" s="24" t="s">
        <v>57</v>
      </c>
      <c r="D272" s="25">
        <v>11.5</v>
      </c>
      <c r="E272" s="24">
        <v>96</v>
      </c>
      <c r="F272" s="24" t="s">
        <v>63</v>
      </c>
      <c r="G272" s="24" t="s">
        <v>67</v>
      </c>
      <c r="H272" s="24" t="s">
        <v>68</v>
      </c>
      <c r="I272" s="24">
        <v>60</v>
      </c>
      <c r="J272" s="24">
        <v>59</v>
      </c>
      <c r="K272" s="24">
        <v>57</v>
      </c>
      <c r="L272" s="24">
        <v>72</v>
      </c>
      <c r="M272" s="24">
        <v>54</v>
      </c>
      <c r="N272" s="26">
        <f t="shared" si="4"/>
        <v>60.4</v>
      </c>
      <c r="O272" s="11" t="str">
        <f>LOOKUP(N272,Settings!$A$10:$A$14,Settings!$B$10:$B$14)</f>
        <v>C</v>
      </c>
      <c r="P272" s="11" t="str">
        <f>IF(N272&gt;=Settings!$B$3,"Pass","Fail")</f>
        <v>Pass</v>
      </c>
      <c r="Q272" s="11" t="str">
        <f>LOOKUP(D272,Settings!$A$19:$A$23,Settings!$B$19:$B$23)</f>
        <v>10 to 14 hrs</v>
      </c>
      <c r="R272" s="11" t="str">
        <f>LOOKUP(E272,Settings!$A$28:$A$31,Settings!$B$28:$B$31)</f>
        <v>95 to 100%</v>
      </c>
      <c r="S272" s="11" t="str">
        <f>IF(OR(N272&lt;Settings!$B$4,E272&lt;Settings!$B$5),"Yes","No")</f>
        <v>No</v>
      </c>
      <c r="T272" s="11">
        <f>RANK(N272,$N$2:$N$301,0)+COUNTIF($N$2:N272,N272)-1</f>
        <v>173</v>
      </c>
    </row>
    <row r="273" spans="1:20" x14ac:dyDescent="0.3">
      <c r="A273" s="24" t="s">
        <v>379</v>
      </c>
      <c r="B273" s="24" t="s">
        <v>45</v>
      </c>
      <c r="C273" s="24" t="s">
        <v>59</v>
      </c>
      <c r="D273" s="25">
        <v>11.8</v>
      </c>
      <c r="E273" s="24">
        <v>82</v>
      </c>
      <c r="F273" s="24" t="s">
        <v>62</v>
      </c>
      <c r="G273" s="24" t="s">
        <v>68</v>
      </c>
      <c r="H273" s="24" t="s">
        <v>67</v>
      </c>
      <c r="I273" s="24">
        <v>42</v>
      </c>
      <c r="J273" s="24">
        <v>57</v>
      </c>
      <c r="K273" s="24">
        <v>58</v>
      </c>
      <c r="L273" s="24">
        <v>50</v>
      </c>
      <c r="M273" s="24">
        <v>61</v>
      </c>
      <c r="N273" s="26">
        <f t="shared" si="4"/>
        <v>53.6</v>
      </c>
      <c r="O273" s="11" t="str">
        <f>LOOKUP(N273,Settings!$A$10:$A$14,Settings!$B$10:$B$14)</f>
        <v>D</v>
      </c>
      <c r="P273" s="11" t="str">
        <f>IF(N273&gt;=Settings!$B$3,"Pass","Fail")</f>
        <v>Pass</v>
      </c>
      <c r="Q273" s="11" t="str">
        <f>LOOKUP(D273,Settings!$A$19:$A$23,Settings!$B$19:$B$23)</f>
        <v>10 to 14 hrs</v>
      </c>
      <c r="R273" s="11" t="str">
        <f>LOOKUP(E273,Settings!$A$28:$A$31,Settings!$B$28:$B$31)</f>
        <v>75 to 84%</v>
      </c>
      <c r="S273" s="11" t="str">
        <f>IF(OR(N273&lt;Settings!$B$4,E273&lt;Settings!$B$5),"Yes","No")</f>
        <v>Yes</v>
      </c>
      <c r="T273" s="11">
        <f>RANK(N273,$N$2:$N$301,0)+COUNTIF($N$2:N273,N273)-1</f>
        <v>239</v>
      </c>
    </row>
    <row r="274" spans="1:20" x14ac:dyDescent="0.3">
      <c r="A274" s="24" t="s">
        <v>380</v>
      </c>
      <c r="B274" s="24" t="s">
        <v>45</v>
      </c>
      <c r="C274" s="24" t="s">
        <v>58</v>
      </c>
      <c r="D274" s="25">
        <v>10.9</v>
      </c>
      <c r="E274" s="24">
        <v>91</v>
      </c>
      <c r="F274" s="24" t="s">
        <v>64</v>
      </c>
      <c r="G274" s="24" t="s">
        <v>67</v>
      </c>
      <c r="H274" s="24" t="s">
        <v>67</v>
      </c>
      <c r="I274" s="24">
        <v>67</v>
      </c>
      <c r="J274" s="24">
        <v>78</v>
      </c>
      <c r="K274" s="24">
        <v>61</v>
      </c>
      <c r="L274" s="24">
        <v>77</v>
      </c>
      <c r="M274" s="24">
        <v>67</v>
      </c>
      <c r="N274" s="26">
        <f t="shared" si="4"/>
        <v>70</v>
      </c>
      <c r="O274" s="11" t="str">
        <f>LOOKUP(N274,Settings!$A$10:$A$14,Settings!$B$10:$B$14)</f>
        <v>B</v>
      </c>
      <c r="P274" s="11" t="str">
        <f>IF(N274&gt;=Settings!$B$3,"Pass","Fail")</f>
        <v>Pass</v>
      </c>
      <c r="Q274" s="11" t="str">
        <f>LOOKUP(D274,Settings!$A$19:$A$23,Settings!$B$19:$B$23)</f>
        <v>10 to 14 hrs</v>
      </c>
      <c r="R274" s="11" t="str">
        <f>LOOKUP(E274,Settings!$A$28:$A$31,Settings!$B$28:$B$31)</f>
        <v>85 to 94%</v>
      </c>
      <c r="S274" s="11" t="str">
        <f>IF(OR(N274&lt;Settings!$B$4,E274&lt;Settings!$B$5),"Yes","No")</f>
        <v>No</v>
      </c>
      <c r="T274" s="11">
        <f>RANK(N274,$N$2:$N$301,0)+COUNTIF($N$2:N274,N274)-1</f>
        <v>61</v>
      </c>
    </row>
    <row r="275" spans="1:20" x14ac:dyDescent="0.3">
      <c r="A275" s="24" t="s">
        <v>381</v>
      </c>
      <c r="B275" s="24" t="s">
        <v>46</v>
      </c>
      <c r="C275" s="24" t="s">
        <v>59</v>
      </c>
      <c r="D275" s="25">
        <v>4.8</v>
      </c>
      <c r="E275" s="24">
        <v>81</v>
      </c>
      <c r="F275" s="24" t="s">
        <v>63</v>
      </c>
      <c r="G275" s="24" t="s">
        <v>68</v>
      </c>
      <c r="H275" s="24" t="s">
        <v>68</v>
      </c>
      <c r="I275" s="24">
        <v>51</v>
      </c>
      <c r="J275" s="24">
        <v>53</v>
      </c>
      <c r="K275" s="24">
        <v>54</v>
      </c>
      <c r="L275" s="24">
        <v>51</v>
      </c>
      <c r="M275" s="24">
        <v>44</v>
      </c>
      <c r="N275" s="26">
        <f t="shared" si="4"/>
        <v>50.6</v>
      </c>
      <c r="O275" s="11" t="str">
        <f>LOOKUP(N275,Settings!$A$10:$A$14,Settings!$B$10:$B$14)</f>
        <v>D</v>
      </c>
      <c r="P275" s="11" t="str">
        <f>IF(N275&gt;=Settings!$B$3,"Pass","Fail")</f>
        <v>Pass</v>
      </c>
      <c r="Q275" s="11" t="str">
        <f>LOOKUP(D275,Settings!$A$19:$A$23,Settings!$B$19:$B$23)</f>
        <v>0 to 4 hrs</v>
      </c>
      <c r="R275" s="11" t="str">
        <f>LOOKUP(E275,Settings!$A$28:$A$31,Settings!$B$28:$B$31)</f>
        <v>75 to 84%</v>
      </c>
      <c r="S275" s="11" t="str">
        <f>IF(OR(N275&lt;Settings!$B$4,E275&lt;Settings!$B$5),"Yes","No")</f>
        <v>Yes</v>
      </c>
      <c r="T275" s="11">
        <f>RANK(N275,$N$2:$N$301,0)+COUNTIF($N$2:N275,N275)-1</f>
        <v>262</v>
      </c>
    </row>
    <row r="276" spans="1:20" x14ac:dyDescent="0.3">
      <c r="A276" s="24" t="s">
        <v>382</v>
      </c>
      <c r="B276" s="24" t="s">
        <v>46</v>
      </c>
      <c r="C276" s="24" t="s">
        <v>59</v>
      </c>
      <c r="D276" s="25">
        <v>9.4</v>
      </c>
      <c r="E276" s="24">
        <v>86</v>
      </c>
      <c r="F276" s="24" t="s">
        <v>63</v>
      </c>
      <c r="G276" s="24" t="s">
        <v>67</v>
      </c>
      <c r="H276" s="24" t="s">
        <v>68</v>
      </c>
      <c r="I276" s="24">
        <v>66</v>
      </c>
      <c r="J276" s="24">
        <v>51</v>
      </c>
      <c r="K276" s="24">
        <v>54</v>
      </c>
      <c r="L276" s="24">
        <v>60</v>
      </c>
      <c r="M276" s="24">
        <v>67</v>
      </c>
      <c r="N276" s="26">
        <f t="shared" si="4"/>
        <v>59.6</v>
      </c>
      <c r="O276" s="11" t="str">
        <f>LOOKUP(N276,Settings!$A$10:$A$14,Settings!$B$10:$B$14)</f>
        <v>D</v>
      </c>
      <c r="P276" s="11" t="str">
        <f>IF(N276&gt;=Settings!$B$3,"Pass","Fail")</f>
        <v>Pass</v>
      </c>
      <c r="Q276" s="11" t="str">
        <f>LOOKUP(D276,Settings!$A$19:$A$23,Settings!$B$19:$B$23)</f>
        <v>5 to 9 hrs</v>
      </c>
      <c r="R276" s="11" t="str">
        <f>LOOKUP(E276,Settings!$A$28:$A$31,Settings!$B$28:$B$31)</f>
        <v>85 to 94%</v>
      </c>
      <c r="S276" s="11" t="str">
        <f>IF(OR(N276&lt;Settings!$B$4,E276&lt;Settings!$B$5),"Yes","No")</f>
        <v>No</v>
      </c>
      <c r="T276" s="11">
        <f>RANK(N276,$N$2:$N$301,0)+COUNTIF($N$2:N276,N276)-1</f>
        <v>184</v>
      </c>
    </row>
    <row r="277" spans="1:20" x14ac:dyDescent="0.3">
      <c r="A277" s="24" t="s">
        <v>383</v>
      </c>
      <c r="B277" s="24" t="s">
        <v>45</v>
      </c>
      <c r="C277" s="24" t="s">
        <v>58</v>
      </c>
      <c r="D277" s="25">
        <v>16.600000000000001</v>
      </c>
      <c r="E277" s="24">
        <v>93</v>
      </c>
      <c r="F277" s="24" t="s">
        <v>64</v>
      </c>
      <c r="G277" s="24" t="s">
        <v>68</v>
      </c>
      <c r="H277" s="24" t="s">
        <v>68</v>
      </c>
      <c r="I277" s="24">
        <v>78</v>
      </c>
      <c r="J277" s="24">
        <v>57</v>
      </c>
      <c r="K277" s="24">
        <v>74</v>
      </c>
      <c r="L277" s="24">
        <v>65</v>
      </c>
      <c r="M277" s="24">
        <v>71</v>
      </c>
      <c r="N277" s="26">
        <f t="shared" si="4"/>
        <v>69</v>
      </c>
      <c r="O277" s="11" t="str">
        <f>LOOKUP(N277,Settings!$A$10:$A$14,Settings!$B$10:$B$14)</f>
        <v>C</v>
      </c>
      <c r="P277" s="11" t="str">
        <f>IF(N277&gt;=Settings!$B$3,"Pass","Fail")</f>
        <v>Pass</v>
      </c>
      <c r="Q277" s="11" t="str">
        <f>LOOKUP(D277,Settings!$A$19:$A$23,Settings!$B$19:$B$23)</f>
        <v>15 to 19 hrs</v>
      </c>
      <c r="R277" s="11" t="str">
        <f>LOOKUP(E277,Settings!$A$28:$A$31,Settings!$B$28:$B$31)</f>
        <v>85 to 94%</v>
      </c>
      <c r="S277" s="11" t="str">
        <f>IF(OR(N277&lt;Settings!$B$4,E277&lt;Settings!$B$5),"Yes","No")</f>
        <v>No</v>
      </c>
      <c r="T277" s="11">
        <f>RANK(N277,$N$2:$N$301,0)+COUNTIF($N$2:N277,N277)-1</f>
        <v>65</v>
      </c>
    </row>
    <row r="278" spans="1:20" x14ac:dyDescent="0.3">
      <c r="A278" s="24" t="s">
        <v>384</v>
      </c>
      <c r="B278" s="24" t="s">
        <v>45</v>
      </c>
      <c r="C278" s="24" t="s">
        <v>59</v>
      </c>
      <c r="D278" s="25">
        <v>5.2</v>
      </c>
      <c r="E278" s="24">
        <v>80</v>
      </c>
      <c r="F278" s="24" t="s">
        <v>63</v>
      </c>
      <c r="G278" s="24" t="s">
        <v>67</v>
      </c>
      <c r="H278" s="24" t="s">
        <v>67</v>
      </c>
      <c r="I278" s="24">
        <v>64</v>
      </c>
      <c r="J278" s="24">
        <v>59</v>
      </c>
      <c r="K278" s="24">
        <v>73</v>
      </c>
      <c r="L278" s="24">
        <v>74</v>
      </c>
      <c r="M278" s="24">
        <v>70</v>
      </c>
      <c r="N278" s="26">
        <f t="shared" si="4"/>
        <v>68</v>
      </c>
      <c r="O278" s="11" t="str">
        <f>LOOKUP(N278,Settings!$A$10:$A$14,Settings!$B$10:$B$14)</f>
        <v>C</v>
      </c>
      <c r="P278" s="11" t="str">
        <f>IF(N278&gt;=Settings!$B$3,"Pass","Fail")</f>
        <v>Pass</v>
      </c>
      <c r="Q278" s="11" t="str">
        <f>LOOKUP(D278,Settings!$A$19:$A$23,Settings!$B$19:$B$23)</f>
        <v>5 to 9 hrs</v>
      </c>
      <c r="R278" s="11" t="str">
        <f>LOOKUP(E278,Settings!$A$28:$A$31,Settings!$B$28:$B$31)</f>
        <v>75 to 84%</v>
      </c>
      <c r="S278" s="11" t="str">
        <f>IF(OR(N278&lt;Settings!$B$4,E278&lt;Settings!$B$5),"Yes","No")</f>
        <v>No</v>
      </c>
      <c r="T278" s="11">
        <f>RANK(N278,$N$2:$N$301,0)+COUNTIF($N$2:N278,N278)-1</f>
        <v>74</v>
      </c>
    </row>
    <row r="279" spans="1:20" x14ac:dyDescent="0.3">
      <c r="A279" s="24" t="s">
        <v>385</v>
      </c>
      <c r="B279" s="24" t="s">
        <v>45</v>
      </c>
      <c r="C279" s="24" t="s">
        <v>58</v>
      </c>
      <c r="D279" s="25">
        <v>11.1</v>
      </c>
      <c r="E279" s="24">
        <v>94</v>
      </c>
      <c r="F279" s="24" t="s">
        <v>63</v>
      </c>
      <c r="G279" s="24" t="s">
        <v>67</v>
      </c>
      <c r="H279" s="24" t="s">
        <v>68</v>
      </c>
      <c r="I279" s="24">
        <v>66</v>
      </c>
      <c r="J279" s="24">
        <v>79</v>
      </c>
      <c r="K279" s="24">
        <v>72</v>
      </c>
      <c r="L279" s="24">
        <v>68</v>
      </c>
      <c r="M279" s="24">
        <v>67</v>
      </c>
      <c r="N279" s="26">
        <f t="shared" si="4"/>
        <v>70.400000000000006</v>
      </c>
      <c r="O279" s="11" t="str">
        <f>LOOKUP(N279,Settings!$A$10:$A$14,Settings!$B$10:$B$14)</f>
        <v>B</v>
      </c>
      <c r="P279" s="11" t="str">
        <f>IF(N279&gt;=Settings!$B$3,"Pass","Fail")</f>
        <v>Pass</v>
      </c>
      <c r="Q279" s="11" t="str">
        <f>LOOKUP(D279,Settings!$A$19:$A$23,Settings!$B$19:$B$23)</f>
        <v>10 to 14 hrs</v>
      </c>
      <c r="R279" s="11" t="str">
        <f>LOOKUP(E279,Settings!$A$28:$A$31,Settings!$B$28:$B$31)</f>
        <v>85 to 94%</v>
      </c>
      <c r="S279" s="11" t="str">
        <f>IF(OR(N279&lt;Settings!$B$4,E279&lt;Settings!$B$5),"Yes","No")</f>
        <v>No</v>
      </c>
      <c r="T279" s="11">
        <f>RANK(N279,$N$2:$N$301,0)+COUNTIF($N$2:N279,N279)-1</f>
        <v>57</v>
      </c>
    </row>
    <row r="280" spans="1:20" x14ac:dyDescent="0.3">
      <c r="A280" s="24" t="s">
        <v>386</v>
      </c>
      <c r="B280" s="24" t="s">
        <v>46</v>
      </c>
      <c r="C280" s="24" t="s">
        <v>59</v>
      </c>
      <c r="D280" s="25">
        <v>7.9</v>
      </c>
      <c r="E280" s="24">
        <v>77</v>
      </c>
      <c r="F280" s="24" t="s">
        <v>63</v>
      </c>
      <c r="G280" s="24" t="s">
        <v>67</v>
      </c>
      <c r="H280" s="24" t="s">
        <v>68</v>
      </c>
      <c r="I280" s="24">
        <v>66</v>
      </c>
      <c r="J280" s="24">
        <v>56</v>
      </c>
      <c r="K280" s="24">
        <v>65</v>
      </c>
      <c r="L280" s="24">
        <v>65</v>
      </c>
      <c r="M280" s="24">
        <v>59</v>
      </c>
      <c r="N280" s="26">
        <f t="shared" si="4"/>
        <v>62.2</v>
      </c>
      <c r="O280" s="11" t="str">
        <f>LOOKUP(N280,Settings!$A$10:$A$14,Settings!$B$10:$B$14)</f>
        <v>C</v>
      </c>
      <c r="P280" s="11" t="str">
        <f>IF(N280&gt;=Settings!$B$3,"Pass","Fail")</f>
        <v>Pass</v>
      </c>
      <c r="Q280" s="11" t="str">
        <f>LOOKUP(D280,Settings!$A$19:$A$23,Settings!$B$19:$B$23)</f>
        <v>5 to 9 hrs</v>
      </c>
      <c r="R280" s="11" t="str">
        <f>LOOKUP(E280,Settings!$A$28:$A$31,Settings!$B$28:$B$31)</f>
        <v>75 to 84%</v>
      </c>
      <c r="S280" s="11" t="str">
        <f>IF(OR(N280&lt;Settings!$B$4,E280&lt;Settings!$B$5),"Yes","No")</f>
        <v>No</v>
      </c>
      <c r="T280" s="11">
        <f>RANK(N280,$N$2:$N$301,0)+COUNTIF($N$2:N280,N280)-1</f>
        <v>149</v>
      </c>
    </row>
    <row r="281" spans="1:20" x14ac:dyDescent="0.3">
      <c r="A281" s="24" t="s">
        <v>387</v>
      </c>
      <c r="B281" s="24" t="s">
        <v>46</v>
      </c>
      <c r="C281" s="24" t="s">
        <v>57</v>
      </c>
      <c r="D281" s="25">
        <v>12.6</v>
      </c>
      <c r="E281" s="24">
        <v>89</v>
      </c>
      <c r="F281" s="24" t="s">
        <v>63</v>
      </c>
      <c r="G281" s="24" t="s">
        <v>67</v>
      </c>
      <c r="H281" s="24" t="s">
        <v>68</v>
      </c>
      <c r="I281" s="24">
        <v>67</v>
      </c>
      <c r="J281" s="24">
        <v>63</v>
      </c>
      <c r="K281" s="24">
        <v>62</v>
      </c>
      <c r="L281" s="24">
        <v>64</v>
      </c>
      <c r="M281" s="24">
        <v>69</v>
      </c>
      <c r="N281" s="26">
        <f t="shared" si="4"/>
        <v>65</v>
      </c>
      <c r="O281" s="11" t="str">
        <f>LOOKUP(N281,Settings!$A$10:$A$14,Settings!$B$10:$B$14)</f>
        <v>C</v>
      </c>
      <c r="P281" s="11" t="str">
        <f>IF(N281&gt;=Settings!$B$3,"Pass","Fail")</f>
        <v>Pass</v>
      </c>
      <c r="Q281" s="11" t="str">
        <f>LOOKUP(D281,Settings!$A$19:$A$23,Settings!$B$19:$B$23)</f>
        <v>10 to 14 hrs</v>
      </c>
      <c r="R281" s="11" t="str">
        <f>LOOKUP(E281,Settings!$A$28:$A$31,Settings!$B$28:$B$31)</f>
        <v>85 to 94%</v>
      </c>
      <c r="S281" s="11" t="str">
        <f>IF(OR(N281&lt;Settings!$B$4,E281&lt;Settings!$B$5),"Yes","No")</f>
        <v>No</v>
      </c>
      <c r="T281" s="11">
        <f>RANK(N281,$N$2:$N$301,0)+COUNTIF($N$2:N281,N281)-1</f>
        <v>117</v>
      </c>
    </row>
    <row r="282" spans="1:20" x14ac:dyDescent="0.3">
      <c r="A282" s="24" t="s">
        <v>388</v>
      </c>
      <c r="B282" s="24" t="s">
        <v>45</v>
      </c>
      <c r="C282" s="24" t="s">
        <v>58</v>
      </c>
      <c r="D282" s="25">
        <v>10.1</v>
      </c>
      <c r="E282" s="24">
        <v>93</v>
      </c>
      <c r="F282" s="24" t="s">
        <v>63</v>
      </c>
      <c r="G282" s="24" t="s">
        <v>68</v>
      </c>
      <c r="H282" s="24" t="s">
        <v>67</v>
      </c>
      <c r="I282" s="24">
        <v>70</v>
      </c>
      <c r="J282" s="24">
        <v>80</v>
      </c>
      <c r="K282" s="24">
        <v>74</v>
      </c>
      <c r="L282" s="24">
        <v>70</v>
      </c>
      <c r="M282" s="24">
        <v>58</v>
      </c>
      <c r="N282" s="26">
        <f t="shared" si="4"/>
        <v>70.400000000000006</v>
      </c>
      <c r="O282" s="11" t="str">
        <f>LOOKUP(N282,Settings!$A$10:$A$14,Settings!$B$10:$B$14)</f>
        <v>B</v>
      </c>
      <c r="P282" s="11" t="str">
        <f>IF(N282&gt;=Settings!$B$3,"Pass","Fail")</f>
        <v>Pass</v>
      </c>
      <c r="Q282" s="11" t="str">
        <f>LOOKUP(D282,Settings!$A$19:$A$23,Settings!$B$19:$B$23)</f>
        <v>10 to 14 hrs</v>
      </c>
      <c r="R282" s="11" t="str">
        <f>LOOKUP(E282,Settings!$A$28:$A$31,Settings!$B$28:$B$31)</f>
        <v>85 to 94%</v>
      </c>
      <c r="S282" s="11" t="str">
        <f>IF(OR(N282&lt;Settings!$B$4,E282&lt;Settings!$B$5),"Yes","No")</f>
        <v>No</v>
      </c>
      <c r="T282" s="11">
        <f>RANK(N282,$N$2:$N$301,0)+COUNTIF($N$2:N282,N282)-1</f>
        <v>58</v>
      </c>
    </row>
    <row r="283" spans="1:20" x14ac:dyDescent="0.3">
      <c r="A283" s="24" t="s">
        <v>389</v>
      </c>
      <c r="B283" s="24" t="s">
        <v>45</v>
      </c>
      <c r="C283" s="24" t="s">
        <v>58</v>
      </c>
      <c r="D283" s="25">
        <v>19.399999999999999</v>
      </c>
      <c r="E283" s="24">
        <v>94</v>
      </c>
      <c r="F283" s="24" t="s">
        <v>63</v>
      </c>
      <c r="G283" s="24" t="s">
        <v>67</v>
      </c>
      <c r="H283" s="24" t="s">
        <v>67</v>
      </c>
      <c r="I283" s="24">
        <v>73</v>
      </c>
      <c r="J283" s="24">
        <v>85</v>
      </c>
      <c r="K283" s="24">
        <v>69</v>
      </c>
      <c r="L283" s="24">
        <v>78</v>
      </c>
      <c r="M283" s="24">
        <v>74</v>
      </c>
      <c r="N283" s="26">
        <f t="shared" si="4"/>
        <v>75.8</v>
      </c>
      <c r="O283" s="11" t="str">
        <f>LOOKUP(N283,Settings!$A$10:$A$14,Settings!$B$10:$B$14)</f>
        <v>B</v>
      </c>
      <c r="P283" s="11" t="str">
        <f>IF(N283&gt;=Settings!$B$3,"Pass","Fail")</f>
        <v>Pass</v>
      </c>
      <c r="Q283" s="11" t="str">
        <f>LOOKUP(D283,Settings!$A$19:$A$23,Settings!$B$19:$B$23)</f>
        <v>15 to 19 hrs</v>
      </c>
      <c r="R283" s="11" t="str">
        <f>LOOKUP(E283,Settings!$A$28:$A$31,Settings!$B$28:$B$31)</f>
        <v>85 to 94%</v>
      </c>
      <c r="S283" s="11" t="str">
        <f>IF(OR(N283&lt;Settings!$B$4,E283&lt;Settings!$B$5),"Yes","No")</f>
        <v>No</v>
      </c>
      <c r="T283" s="11">
        <f>RANK(N283,$N$2:$N$301,0)+COUNTIF($N$2:N283,N283)-1</f>
        <v>21</v>
      </c>
    </row>
    <row r="284" spans="1:20" x14ac:dyDescent="0.3">
      <c r="A284" s="24" t="s">
        <v>390</v>
      </c>
      <c r="B284" s="24" t="s">
        <v>45</v>
      </c>
      <c r="C284" s="24" t="s">
        <v>57</v>
      </c>
      <c r="D284" s="25">
        <v>14.5</v>
      </c>
      <c r="E284" s="24">
        <v>100</v>
      </c>
      <c r="F284" s="24" t="s">
        <v>64</v>
      </c>
      <c r="G284" s="24" t="s">
        <v>67</v>
      </c>
      <c r="H284" s="24" t="s">
        <v>68</v>
      </c>
      <c r="I284" s="24">
        <v>56</v>
      </c>
      <c r="J284" s="24">
        <v>66</v>
      </c>
      <c r="K284" s="24">
        <v>64</v>
      </c>
      <c r="L284" s="24">
        <v>64</v>
      </c>
      <c r="M284" s="24">
        <v>64</v>
      </c>
      <c r="N284" s="26">
        <f t="shared" si="4"/>
        <v>62.8</v>
      </c>
      <c r="O284" s="11" t="str">
        <f>LOOKUP(N284,Settings!$A$10:$A$14,Settings!$B$10:$B$14)</f>
        <v>C</v>
      </c>
      <c r="P284" s="11" t="str">
        <f>IF(N284&gt;=Settings!$B$3,"Pass","Fail")</f>
        <v>Pass</v>
      </c>
      <c r="Q284" s="11" t="str">
        <f>LOOKUP(D284,Settings!$A$19:$A$23,Settings!$B$19:$B$23)</f>
        <v>10 to 14 hrs</v>
      </c>
      <c r="R284" s="11" t="str">
        <f>LOOKUP(E284,Settings!$A$28:$A$31,Settings!$B$28:$B$31)</f>
        <v>95 to 100%</v>
      </c>
      <c r="S284" s="11" t="str">
        <f>IF(OR(N284&lt;Settings!$B$4,E284&lt;Settings!$B$5),"Yes","No")</f>
        <v>No</v>
      </c>
      <c r="T284" s="11">
        <f>RANK(N284,$N$2:$N$301,0)+COUNTIF($N$2:N284,N284)-1</f>
        <v>141</v>
      </c>
    </row>
    <row r="285" spans="1:20" x14ac:dyDescent="0.3">
      <c r="A285" s="24" t="s">
        <v>391</v>
      </c>
      <c r="B285" s="24" t="s">
        <v>45</v>
      </c>
      <c r="C285" s="24" t="s">
        <v>58</v>
      </c>
      <c r="D285" s="25">
        <v>5.4</v>
      </c>
      <c r="E285" s="24">
        <v>78</v>
      </c>
      <c r="F285" s="24" t="s">
        <v>63</v>
      </c>
      <c r="G285" s="24" t="s">
        <v>67</v>
      </c>
      <c r="H285" s="24" t="s">
        <v>67</v>
      </c>
      <c r="I285" s="24">
        <v>45</v>
      </c>
      <c r="J285" s="24">
        <v>52</v>
      </c>
      <c r="K285" s="24">
        <v>53</v>
      </c>
      <c r="L285" s="24">
        <v>55</v>
      </c>
      <c r="M285" s="24">
        <v>62</v>
      </c>
      <c r="N285" s="26">
        <f t="shared" si="4"/>
        <v>53.4</v>
      </c>
      <c r="O285" s="11" t="str">
        <f>LOOKUP(N285,Settings!$A$10:$A$14,Settings!$B$10:$B$14)</f>
        <v>D</v>
      </c>
      <c r="P285" s="11" t="str">
        <f>IF(N285&gt;=Settings!$B$3,"Pass","Fail")</f>
        <v>Pass</v>
      </c>
      <c r="Q285" s="11" t="str">
        <f>LOOKUP(D285,Settings!$A$19:$A$23,Settings!$B$19:$B$23)</f>
        <v>5 to 9 hrs</v>
      </c>
      <c r="R285" s="11" t="str">
        <f>LOOKUP(E285,Settings!$A$28:$A$31,Settings!$B$28:$B$31)</f>
        <v>75 to 84%</v>
      </c>
      <c r="S285" s="11" t="str">
        <f>IF(OR(N285&lt;Settings!$B$4,E285&lt;Settings!$B$5),"Yes","No")</f>
        <v>Yes</v>
      </c>
      <c r="T285" s="11">
        <f>RANK(N285,$N$2:$N$301,0)+COUNTIF($N$2:N285,N285)-1</f>
        <v>241</v>
      </c>
    </row>
    <row r="286" spans="1:20" x14ac:dyDescent="0.3">
      <c r="A286" s="24" t="s">
        <v>392</v>
      </c>
      <c r="B286" s="24" t="s">
        <v>46</v>
      </c>
      <c r="C286" s="24" t="s">
        <v>59</v>
      </c>
      <c r="D286" s="25">
        <v>15.4</v>
      </c>
      <c r="E286" s="24">
        <v>76</v>
      </c>
      <c r="F286" s="24" t="s">
        <v>62</v>
      </c>
      <c r="G286" s="24" t="s">
        <v>67</v>
      </c>
      <c r="H286" s="24" t="s">
        <v>68</v>
      </c>
      <c r="I286" s="24">
        <v>77</v>
      </c>
      <c r="J286" s="24">
        <v>64</v>
      </c>
      <c r="K286" s="24">
        <v>69</v>
      </c>
      <c r="L286" s="24">
        <v>65</v>
      </c>
      <c r="M286" s="24">
        <v>68</v>
      </c>
      <c r="N286" s="26">
        <f t="shared" si="4"/>
        <v>68.599999999999994</v>
      </c>
      <c r="O286" s="11" t="str">
        <f>LOOKUP(N286,Settings!$A$10:$A$14,Settings!$B$10:$B$14)</f>
        <v>C</v>
      </c>
      <c r="P286" s="11" t="str">
        <f>IF(N286&gt;=Settings!$B$3,"Pass","Fail")</f>
        <v>Pass</v>
      </c>
      <c r="Q286" s="11" t="str">
        <f>LOOKUP(D286,Settings!$A$19:$A$23,Settings!$B$19:$B$23)</f>
        <v>15 to 19 hrs</v>
      </c>
      <c r="R286" s="11" t="str">
        <f>LOOKUP(E286,Settings!$A$28:$A$31,Settings!$B$28:$B$31)</f>
        <v>75 to 84%</v>
      </c>
      <c r="S286" s="11" t="str">
        <f>IF(OR(N286&lt;Settings!$B$4,E286&lt;Settings!$B$5),"Yes","No")</f>
        <v>No</v>
      </c>
      <c r="T286" s="11">
        <f>RANK(N286,$N$2:$N$301,0)+COUNTIF($N$2:N286,N286)-1</f>
        <v>71</v>
      </c>
    </row>
    <row r="287" spans="1:20" x14ac:dyDescent="0.3">
      <c r="A287" s="24" t="s">
        <v>393</v>
      </c>
      <c r="B287" s="24" t="s">
        <v>45</v>
      </c>
      <c r="C287" s="24" t="s">
        <v>58</v>
      </c>
      <c r="D287" s="25">
        <v>8.1</v>
      </c>
      <c r="E287" s="24">
        <v>77</v>
      </c>
      <c r="F287" s="24" t="s">
        <v>63</v>
      </c>
      <c r="G287" s="24" t="s">
        <v>68</v>
      </c>
      <c r="H287" s="24" t="s">
        <v>67</v>
      </c>
      <c r="I287" s="24">
        <v>46</v>
      </c>
      <c r="J287" s="24">
        <v>52</v>
      </c>
      <c r="K287" s="24">
        <v>49</v>
      </c>
      <c r="L287" s="24">
        <v>45</v>
      </c>
      <c r="M287" s="24">
        <v>32</v>
      </c>
      <c r="N287" s="26">
        <f t="shared" si="4"/>
        <v>44.8</v>
      </c>
      <c r="O287" s="11" t="str">
        <f>LOOKUP(N287,Settings!$A$10:$A$14,Settings!$B$10:$B$14)</f>
        <v>F</v>
      </c>
      <c r="P287" s="11" t="str">
        <f>IF(N287&gt;=Settings!$B$3,"Pass","Fail")</f>
        <v>Fail</v>
      </c>
      <c r="Q287" s="11" t="str">
        <f>LOOKUP(D287,Settings!$A$19:$A$23,Settings!$B$19:$B$23)</f>
        <v>5 to 9 hrs</v>
      </c>
      <c r="R287" s="11" t="str">
        <f>LOOKUP(E287,Settings!$A$28:$A$31,Settings!$B$28:$B$31)</f>
        <v>75 to 84%</v>
      </c>
      <c r="S287" s="11" t="str">
        <f>IF(OR(N287&lt;Settings!$B$4,E287&lt;Settings!$B$5),"Yes","No")</f>
        <v>Yes</v>
      </c>
      <c r="T287" s="11">
        <f>RANK(N287,$N$2:$N$301,0)+COUNTIF($N$2:N287,N287)-1</f>
        <v>288</v>
      </c>
    </row>
    <row r="288" spans="1:20" x14ac:dyDescent="0.3">
      <c r="A288" s="24" t="s">
        <v>394</v>
      </c>
      <c r="B288" s="24" t="s">
        <v>45</v>
      </c>
      <c r="C288" s="24" t="s">
        <v>57</v>
      </c>
      <c r="D288" s="25">
        <v>9.1</v>
      </c>
      <c r="E288" s="24">
        <v>90</v>
      </c>
      <c r="F288" s="24" t="s">
        <v>63</v>
      </c>
      <c r="G288" s="24" t="s">
        <v>67</v>
      </c>
      <c r="H288" s="24" t="s">
        <v>68</v>
      </c>
      <c r="I288" s="24">
        <v>68</v>
      </c>
      <c r="J288" s="24">
        <v>71</v>
      </c>
      <c r="K288" s="24">
        <v>54</v>
      </c>
      <c r="L288" s="24">
        <v>70</v>
      </c>
      <c r="M288" s="24">
        <v>58</v>
      </c>
      <c r="N288" s="26">
        <f t="shared" si="4"/>
        <v>64.2</v>
      </c>
      <c r="O288" s="11" t="str">
        <f>LOOKUP(N288,Settings!$A$10:$A$14,Settings!$B$10:$B$14)</f>
        <v>C</v>
      </c>
      <c r="P288" s="11" t="str">
        <f>IF(N288&gt;=Settings!$B$3,"Pass","Fail")</f>
        <v>Pass</v>
      </c>
      <c r="Q288" s="11" t="str">
        <f>LOOKUP(D288,Settings!$A$19:$A$23,Settings!$B$19:$B$23)</f>
        <v>5 to 9 hrs</v>
      </c>
      <c r="R288" s="11" t="str">
        <f>LOOKUP(E288,Settings!$A$28:$A$31,Settings!$B$28:$B$31)</f>
        <v>85 to 94%</v>
      </c>
      <c r="S288" s="11" t="str">
        <f>IF(OR(N288&lt;Settings!$B$4,E288&lt;Settings!$B$5),"Yes","No")</f>
        <v>No</v>
      </c>
      <c r="T288" s="11">
        <f>RANK(N288,$N$2:$N$301,0)+COUNTIF($N$2:N288,N288)-1</f>
        <v>129</v>
      </c>
    </row>
    <row r="289" spans="1:20" x14ac:dyDescent="0.3">
      <c r="A289" s="24" t="s">
        <v>395</v>
      </c>
      <c r="B289" s="24" t="s">
        <v>45</v>
      </c>
      <c r="C289" s="24" t="s">
        <v>57</v>
      </c>
      <c r="D289" s="25">
        <v>13.6</v>
      </c>
      <c r="E289" s="24">
        <v>90</v>
      </c>
      <c r="F289" s="24" t="s">
        <v>62</v>
      </c>
      <c r="G289" s="24" t="s">
        <v>68</v>
      </c>
      <c r="H289" s="24" t="s">
        <v>68</v>
      </c>
      <c r="I289" s="24">
        <v>53</v>
      </c>
      <c r="J289" s="24">
        <v>63</v>
      </c>
      <c r="K289" s="24">
        <v>49</v>
      </c>
      <c r="L289" s="24">
        <v>65</v>
      </c>
      <c r="M289" s="24">
        <v>72</v>
      </c>
      <c r="N289" s="26">
        <f t="shared" si="4"/>
        <v>60.4</v>
      </c>
      <c r="O289" s="11" t="str">
        <f>LOOKUP(N289,Settings!$A$10:$A$14,Settings!$B$10:$B$14)</f>
        <v>C</v>
      </c>
      <c r="P289" s="11" t="str">
        <f>IF(N289&gt;=Settings!$B$3,"Pass","Fail")</f>
        <v>Pass</v>
      </c>
      <c r="Q289" s="11" t="str">
        <f>LOOKUP(D289,Settings!$A$19:$A$23,Settings!$B$19:$B$23)</f>
        <v>10 to 14 hrs</v>
      </c>
      <c r="R289" s="11" t="str">
        <f>LOOKUP(E289,Settings!$A$28:$A$31,Settings!$B$28:$B$31)</f>
        <v>85 to 94%</v>
      </c>
      <c r="S289" s="11" t="str">
        <f>IF(OR(N289&lt;Settings!$B$4,E289&lt;Settings!$B$5),"Yes","No")</f>
        <v>No</v>
      </c>
      <c r="T289" s="11">
        <f>RANK(N289,$N$2:$N$301,0)+COUNTIF($N$2:N289,N289)-1</f>
        <v>174</v>
      </c>
    </row>
    <row r="290" spans="1:20" x14ac:dyDescent="0.3">
      <c r="A290" s="24" t="s">
        <v>396</v>
      </c>
      <c r="B290" s="24" t="s">
        <v>46</v>
      </c>
      <c r="C290" s="24" t="s">
        <v>57</v>
      </c>
      <c r="D290" s="25">
        <v>9.5</v>
      </c>
      <c r="E290" s="24">
        <v>86</v>
      </c>
      <c r="F290" s="24" t="s">
        <v>62</v>
      </c>
      <c r="G290" s="24" t="s">
        <v>67</v>
      </c>
      <c r="H290" s="24" t="s">
        <v>68</v>
      </c>
      <c r="I290" s="24">
        <v>69</v>
      </c>
      <c r="J290" s="24">
        <v>68</v>
      </c>
      <c r="K290" s="24">
        <v>70</v>
      </c>
      <c r="L290" s="24">
        <v>61</v>
      </c>
      <c r="M290" s="24">
        <v>72</v>
      </c>
      <c r="N290" s="26">
        <f t="shared" si="4"/>
        <v>68</v>
      </c>
      <c r="O290" s="11" t="str">
        <f>LOOKUP(N290,Settings!$A$10:$A$14,Settings!$B$10:$B$14)</f>
        <v>C</v>
      </c>
      <c r="P290" s="11" t="str">
        <f>IF(N290&gt;=Settings!$B$3,"Pass","Fail")</f>
        <v>Pass</v>
      </c>
      <c r="Q290" s="11" t="str">
        <f>LOOKUP(D290,Settings!$A$19:$A$23,Settings!$B$19:$B$23)</f>
        <v>5 to 9 hrs</v>
      </c>
      <c r="R290" s="11" t="str">
        <f>LOOKUP(E290,Settings!$A$28:$A$31,Settings!$B$28:$B$31)</f>
        <v>85 to 94%</v>
      </c>
      <c r="S290" s="11" t="str">
        <f>IF(OR(N290&lt;Settings!$B$4,E290&lt;Settings!$B$5),"Yes","No")</f>
        <v>No</v>
      </c>
      <c r="T290" s="11">
        <f>RANK(N290,$N$2:$N$301,0)+COUNTIF($N$2:N290,N290)-1</f>
        <v>75</v>
      </c>
    </row>
    <row r="291" spans="1:20" x14ac:dyDescent="0.3">
      <c r="A291" s="24" t="s">
        <v>397</v>
      </c>
      <c r="B291" s="24" t="s">
        <v>45</v>
      </c>
      <c r="C291" s="24" t="s">
        <v>57</v>
      </c>
      <c r="D291" s="25">
        <v>16.5</v>
      </c>
      <c r="E291" s="24">
        <v>78</v>
      </c>
      <c r="F291" s="24" t="s">
        <v>63</v>
      </c>
      <c r="G291" s="24" t="s">
        <v>67</v>
      </c>
      <c r="H291" s="24" t="s">
        <v>68</v>
      </c>
      <c r="I291" s="24">
        <v>83</v>
      </c>
      <c r="J291" s="24">
        <v>79</v>
      </c>
      <c r="K291" s="24">
        <v>70</v>
      </c>
      <c r="L291" s="24">
        <v>75</v>
      </c>
      <c r="M291" s="24">
        <v>64</v>
      </c>
      <c r="N291" s="26">
        <f t="shared" si="4"/>
        <v>74.2</v>
      </c>
      <c r="O291" s="11" t="str">
        <f>LOOKUP(N291,Settings!$A$10:$A$14,Settings!$B$10:$B$14)</f>
        <v>B</v>
      </c>
      <c r="P291" s="11" t="str">
        <f>IF(N291&gt;=Settings!$B$3,"Pass","Fail")</f>
        <v>Pass</v>
      </c>
      <c r="Q291" s="11" t="str">
        <f>LOOKUP(D291,Settings!$A$19:$A$23,Settings!$B$19:$B$23)</f>
        <v>15 to 19 hrs</v>
      </c>
      <c r="R291" s="11" t="str">
        <f>LOOKUP(E291,Settings!$A$28:$A$31,Settings!$B$28:$B$31)</f>
        <v>75 to 84%</v>
      </c>
      <c r="S291" s="11" t="str">
        <f>IF(OR(N291&lt;Settings!$B$4,E291&lt;Settings!$B$5),"Yes","No")</f>
        <v>No</v>
      </c>
      <c r="T291" s="11">
        <f>RANK(N291,$N$2:$N$301,0)+COUNTIF($N$2:N291,N291)-1</f>
        <v>26</v>
      </c>
    </row>
    <row r="292" spans="1:20" x14ac:dyDescent="0.3">
      <c r="A292" s="24" t="s">
        <v>398</v>
      </c>
      <c r="B292" s="24" t="s">
        <v>46</v>
      </c>
      <c r="C292" s="24" t="s">
        <v>59</v>
      </c>
      <c r="D292" s="25">
        <v>8.1</v>
      </c>
      <c r="E292" s="24">
        <v>91</v>
      </c>
      <c r="F292" s="24" t="s">
        <v>63</v>
      </c>
      <c r="G292" s="24" t="s">
        <v>67</v>
      </c>
      <c r="H292" s="24" t="s">
        <v>67</v>
      </c>
      <c r="I292" s="24">
        <v>59</v>
      </c>
      <c r="J292" s="24">
        <v>55</v>
      </c>
      <c r="K292" s="24">
        <v>70</v>
      </c>
      <c r="L292" s="24">
        <v>59</v>
      </c>
      <c r="M292" s="24">
        <v>68</v>
      </c>
      <c r="N292" s="26">
        <f t="shared" si="4"/>
        <v>62.2</v>
      </c>
      <c r="O292" s="11" t="str">
        <f>LOOKUP(N292,Settings!$A$10:$A$14,Settings!$B$10:$B$14)</f>
        <v>C</v>
      </c>
      <c r="P292" s="11" t="str">
        <f>IF(N292&gt;=Settings!$B$3,"Pass","Fail")</f>
        <v>Pass</v>
      </c>
      <c r="Q292" s="11" t="str">
        <f>LOOKUP(D292,Settings!$A$19:$A$23,Settings!$B$19:$B$23)</f>
        <v>5 to 9 hrs</v>
      </c>
      <c r="R292" s="11" t="str">
        <f>LOOKUP(E292,Settings!$A$28:$A$31,Settings!$B$28:$B$31)</f>
        <v>85 to 94%</v>
      </c>
      <c r="S292" s="11" t="str">
        <f>IF(OR(N292&lt;Settings!$B$4,E292&lt;Settings!$B$5),"Yes","No")</f>
        <v>No</v>
      </c>
      <c r="T292" s="11">
        <f>RANK(N292,$N$2:$N$301,0)+COUNTIF($N$2:N292,N292)-1</f>
        <v>150</v>
      </c>
    </row>
    <row r="293" spans="1:20" x14ac:dyDescent="0.3">
      <c r="A293" s="24" t="s">
        <v>399</v>
      </c>
      <c r="B293" s="24" t="s">
        <v>45</v>
      </c>
      <c r="C293" s="24" t="s">
        <v>58</v>
      </c>
      <c r="D293" s="25">
        <v>8.9</v>
      </c>
      <c r="E293" s="24">
        <v>75</v>
      </c>
      <c r="F293" s="24" t="s">
        <v>64</v>
      </c>
      <c r="G293" s="24" t="s">
        <v>67</v>
      </c>
      <c r="H293" s="24" t="s">
        <v>68</v>
      </c>
      <c r="I293" s="24">
        <v>49</v>
      </c>
      <c r="J293" s="24">
        <v>68</v>
      </c>
      <c r="K293" s="24">
        <v>60</v>
      </c>
      <c r="L293" s="24">
        <v>56</v>
      </c>
      <c r="M293" s="24">
        <v>56</v>
      </c>
      <c r="N293" s="26">
        <f t="shared" si="4"/>
        <v>57.8</v>
      </c>
      <c r="O293" s="11" t="str">
        <f>LOOKUP(N293,Settings!$A$10:$A$14,Settings!$B$10:$B$14)</f>
        <v>D</v>
      </c>
      <c r="P293" s="11" t="str">
        <f>IF(N293&gt;=Settings!$B$3,"Pass","Fail")</f>
        <v>Pass</v>
      </c>
      <c r="Q293" s="11" t="str">
        <f>LOOKUP(D293,Settings!$A$19:$A$23,Settings!$B$19:$B$23)</f>
        <v>5 to 9 hrs</v>
      </c>
      <c r="R293" s="11" t="str">
        <f>LOOKUP(E293,Settings!$A$28:$A$31,Settings!$B$28:$B$31)</f>
        <v>75 to 84%</v>
      </c>
      <c r="S293" s="11" t="str">
        <f>IF(OR(N293&lt;Settings!$B$4,E293&lt;Settings!$B$5),"Yes","No")</f>
        <v>No</v>
      </c>
      <c r="T293" s="11">
        <f>RANK(N293,$N$2:$N$301,0)+COUNTIF($N$2:N293,N293)-1</f>
        <v>196</v>
      </c>
    </row>
    <row r="294" spans="1:20" x14ac:dyDescent="0.3">
      <c r="A294" s="24" t="s">
        <v>400</v>
      </c>
      <c r="B294" s="24" t="s">
        <v>46</v>
      </c>
      <c r="C294" s="24" t="s">
        <v>57</v>
      </c>
      <c r="D294" s="25">
        <v>8.6999999999999993</v>
      </c>
      <c r="E294" s="24">
        <v>94</v>
      </c>
      <c r="F294" s="24" t="s">
        <v>62</v>
      </c>
      <c r="G294" s="24" t="s">
        <v>68</v>
      </c>
      <c r="H294" s="24" t="s">
        <v>68</v>
      </c>
      <c r="I294" s="24">
        <v>65</v>
      </c>
      <c r="J294" s="24">
        <v>52</v>
      </c>
      <c r="K294" s="24">
        <v>47</v>
      </c>
      <c r="L294" s="24">
        <v>62</v>
      </c>
      <c r="M294" s="24">
        <v>48</v>
      </c>
      <c r="N294" s="26">
        <f t="shared" si="4"/>
        <v>54.8</v>
      </c>
      <c r="O294" s="11" t="str">
        <f>LOOKUP(N294,Settings!$A$10:$A$14,Settings!$B$10:$B$14)</f>
        <v>D</v>
      </c>
      <c r="P294" s="11" t="str">
        <f>IF(N294&gt;=Settings!$B$3,"Pass","Fail")</f>
        <v>Pass</v>
      </c>
      <c r="Q294" s="11" t="str">
        <f>LOOKUP(D294,Settings!$A$19:$A$23,Settings!$B$19:$B$23)</f>
        <v>5 to 9 hrs</v>
      </c>
      <c r="R294" s="11" t="str">
        <f>LOOKUP(E294,Settings!$A$28:$A$31,Settings!$B$28:$B$31)</f>
        <v>85 to 94%</v>
      </c>
      <c r="S294" s="11" t="str">
        <f>IF(OR(N294&lt;Settings!$B$4,E294&lt;Settings!$B$5),"Yes","No")</f>
        <v>Yes</v>
      </c>
      <c r="T294" s="11">
        <f>RANK(N294,$N$2:$N$301,0)+COUNTIF($N$2:N294,N294)-1</f>
        <v>229</v>
      </c>
    </row>
    <row r="295" spans="1:20" x14ac:dyDescent="0.3">
      <c r="A295" s="24" t="s">
        <v>401</v>
      </c>
      <c r="B295" s="24" t="s">
        <v>45</v>
      </c>
      <c r="C295" s="24" t="s">
        <v>58</v>
      </c>
      <c r="D295" s="25">
        <v>9.1999999999999993</v>
      </c>
      <c r="E295" s="24">
        <v>100</v>
      </c>
      <c r="F295" s="24" t="s">
        <v>62</v>
      </c>
      <c r="G295" s="24" t="s">
        <v>68</v>
      </c>
      <c r="H295" s="24" t="s">
        <v>68</v>
      </c>
      <c r="I295" s="24">
        <v>53</v>
      </c>
      <c r="J295" s="24">
        <v>47</v>
      </c>
      <c r="K295" s="24">
        <v>65</v>
      </c>
      <c r="L295" s="24">
        <v>51</v>
      </c>
      <c r="M295" s="24">
        <v>56</v>
      </c>
      <c r="N295" s="26">
        <f t="shared" si="4"/>
        <v>54.4</v>
      </c>
      <c r="O295" s="11" t="str">
        <f>LOOKUP(N295,Settings!$A$10:$A$14,Settings!$B$10:$B$14)</f>
        <v>D</v>
      </c>
      <c r="P295" s="11" t="str">
        <f>IF(N295&gt;=Settings!$B$3,"Pass","Fail")</f>
        <v>Pass</v>
      </c>
      <c r="Q295" s="11" t="str">
        <f>LOOKUP(D295,Settings!$A$19:$A$23,Settings!$B$19:$B$23)</f>
        <v>5 to 9 hrs</v>
      </c>
      <c r="R295" s="11" t="str">
        <f>LOOKUP(E295,Settings!$A$28:$A$31,Settings!$B$28:$B$31)</f>
        <v>95 to 100%</v>
      </c>
      <c r="S295" s="11" t="str">
        <f>IF(OR(N295&lt;Settings!$B$4,E295&lt;Settings!$B$5),"Yes","No")</f>
        <v>Yes</v>
      </c>
      <c r="T295" s="11">
        <f>RANK(N295,$N$2:$N$301,0)+COUNTIF($N$2:N295,N295)-1</f>
        <v>232</v>
      </c>
    </row>
    <row r="296" spans="1:20" x14ac:dyDescent="0.3">
      <c r="A296" s="24" t="s">
        <v>402</v>
      </c>
      <c r="B296" s="24" t="s">
        <v>46</v>
      </c>
      <c r="C296" s="24" t="s">
        <v>57</v>
      </c>
      <c r="D296" s="25">
        <v>17.5</v>
      </c>
      <c r="E296" s="24">
        <v>91</v>
      </c>
      <c r="F296" s="24" t="s">
        <v>64</v>
      </c>
      <c r="G296" s="24" t="s">
        <v>68</v>
      </c>
      <c r="H296" s="24" t="s">
        <v>67</v>
      </c>
      <c r="I296" s="24">
        <v>68</v>
      </c>
      <c r="J296" s="24">
        <v>52</v>
      </c>
      <c r="K296" s="24">
        <v>64</v>
      </c>
      <c r="L296" s="24">
        <v>73</v>
      </c>
      <c r="M296" s="24">
        <v>67</v>
      </c>
      <c r="N296" s="26">
        <f t="shared" si="4"/>
        <v>64.8</v>
      </c>
      <c r="O296" s="11" t="str">
        <f>LOOKUP(N296,Settings!$A$10:$A$14,Settings!$B$10:$B$14)</f>
        <v>C</v>
      </c>
      <c r="P296" s="11" t="str">
        <f>IF(N296&gt;=Settings!$B$3,"Pass","Fail")</f>
        <v>Pass</v>
      </c>
      <c r="Q296" s="11" t="str">
        <f>LOOKUP(D296,Settings!$A$19:$A$23,Settings!$B$19:$B$23)</f>
        <v>15 to 19 hrs</v>
      </c>
      <c r="R296" s="11" t="str">
        <f>LOOKUP(E296,Settings!$A$28:$A$31,Settings!$B$28:$B$31)</f>
        <v>85 to 94%</v>
      </c>
      <c r="S296" s="11" t="str">
        <f>IF(OR(N296&lt;Settings!$B$4,E296&lt;Settings!$B$5),"Yes","No")</f>
        <v>No</v>
      </c>
      <c r="T296" s="11">
        <f>RANK(N296,$N$2:$N$301,0)+COUNTIF($N$2:N296,N296)-1</f>
        <v>118</v>
      </c>
    </row>
    <row r="297" spans="1:20" x14ac:dyDescent="0.3">
      <c r="A297" s="24" t="s">
        <v>403</v>
      </c>
      <c r="B297" s="24" t="s">
        <v>46</v>
      </c>
      <c r="C297" s="24" t="s">
        <v>57</v>
      </c>
      <c r="D297" s="25">
        <v>15.1</v>
      </c>
      <c r="E297" s="24">
        <v>92</v>
      </c>
      <c r="F297" s="24" t="s">
        <v>64</v>
      </c>
      <c r="G297" s="24" t="s">
        <v>67</v>
      </c>
      <c r="H297" s="24" t="s">
        <v>68</v>
      </c>
      <c r="I297" s="24">
        <v>59</v>
      </c>
      <c r="J297" s="24">
        <v>53</v>
      </c>
      <c r="K297" s="24">
        <v>63</v>
      </c>
      <c r="L297" s="24">
        <v>60</v>
      </c>
      <c r="M297" s="24">
        <v>51</v>
      </c>
      <c r="N297" s="26">
        <f t="shared" si="4"/>
        <v>57.2</v>
      </c>
      <c r="O297" s="11" t="str">
        <f>LOOKUP(N297,Settings!$A$10:$A$14,Settings!$B$10:$B$14)</f>
        <v>D</v>
      </c>
      <c r="P297" s="11" t="str">
        <f>IF(N297&gt;=Settings!$B$3,"Pass","Fail")</f>
        <v>Pass</v>
      </c>
      <c r="Q297" s="11" t="str">
        <f>LOOKUP(D297,Settings!$A$19:$A$23,Settings!$B$19:$B$23)</f>
        <v>15 to 19 hrs</v>
      </c>
      <c r="R297" s="11" t="str">
        <f>LOOKUP(E297,Settings!$A$28:$A$31,Settings!$B$28:$B$31)</f>
        <v>85 to 94%</v>
      </c>
      <c r="S297" s="11" t="str">
        <f>IF(OR(N297&lt;Settings!$B$4,E297&lt;Settings!$B$5),"Yes","No")</f>
        <v>No</v>
      </c>
      <c r="T297" s="11">
        <f>RANK(N297,$N$2:$N$301,0)+COUNTIF($N$2:N297,N297)-1</f>
        <v>202</v>
      </c>
    </row>
    <row r="298" spans="1:20" x14ac:dyDescent="0.3">
      <c r="A298" s="24" t="s">
        <v>404</v>
      </c>
      <c r="B298" s="24" t="s">
        <v>46</v>
      </c>
      <c r="C298" s="24" t="s">
        <v>59</v>
      </c>
      <c r="D298" s="25">
        <v>20.5</v>
      </c>
      <c r="E298" s="24">
        <v>85</v>
      </c>
      <c r="F298" s="24" t="s">
        <v>62</v>
      </c>
      <c r="G298" s="24" t="s">
        <v>67</v>
      </c>
      <c r="H298" s="24" t="s">
        <v>68</v>
      </c>
      <c r="I298" s="24">
        <v>76</v>
      </c>
      <c r="J298" s="24">
        <v>74</v>
      </c>
      <c r="K298" s="24">
        <v>68</v>
      </c>
      <c r="L298" s="24">
        <v>71</v>
      </c>
      <c r="M298" s="24">
        <v>67</v>
      </c>
      <c r="N298" s="26">
        <f t="shared" si="4"/>
        <v>71.2</v>
      </c>
      <c r="O298" s="11" t="str">
        <f>LOOKUP(N298,Settings!$A$10:$A$14,Settings!$B$10:$B$14)</f>
        <v>B</v>
      </c>
      <c r="P298" s="11" t="str">
        <f>IF(N298&gt;=Settings!$B$3,"Pass","Fail")</f>
        <v>Pass</v>
      </c>
      <c r="Q298" s="11" t="str">
        <f>LOOKUP(D298,Settings!$A$19:$A$23,Settings!$B$19:$B$23)</f>
        <v>20+ hrs</v>
      </c>
      <c r="R298" s="11" t="str">
        <f>LOOKUP(E298,Settings!$A$28:$A$31,Settings!$B$28:$B$31)</f>
        <v>85 to 94%</v>
      </c>
      <c r="S298" s="11" t="str">
        <f>IF(OR(N298&lt;Settings!$B$4,E298&lt;Settings!$B$5),"Yes","No")</f>
        <v>No</v>
      </c>
      <c r="T298" s="11">
        <f>RANK(N298,$N$2:$N$301,0)+COUNTIF($N$2:N298,N298)-1</f>
        <v>45</v>
      </c>
    </row>
    <row r="299" spans="1:20" x14ac:dyDescent="0.3">
      <c r="A299" s="24" t="s">
        <v>405</v>
      </c>
      <c r="B299" s="24" t="s">
        <v>46</v>
      </c>
      <c r="C299" s="24" t="s">
        <v>58</v>
      </c>
      <c r="D299" s="25">
        <v>23.3</v>
      </c>
      <c r="E299" s="24">
        <v>75</v>
      </c>
      <c r="F299" s="24" t="s">
        <v>62</v>
      </c>
      <c r="G299" s="24" t="s">
        <v>67</v>
      </c>
      <c r="H299" s="24" t="s">
        <v>68</v>
      </c>
      <c r="I299" s="24">
        <v>70</v>
      </c>
      <c r="J299" s="24">
        <v>73</v>
      </c>
      <c r="K299" s="24">
        <v>83</v>
      </c>
      <c r="L299" s="24">
        <v>76</v>
      </c>
      <c r="M299" s="24">
        <v>75</v>
      </c>
      <c r="N299" s="26">
        <f t="shared" si="4"/>
        <v>75.400000000000006</v>
      </c>
      <c r="O299" s="11" t="str">
        <f>LOOKUP(N299,Settings!$A$10:$A$14,Settings!$B$10:$B$14)</f>
        <v>B</v>
      </c>
      <c r="P299" s="11" t="str">
        <f>IF(N299&gt;=Settings!$B$3,"Pass","Fail")</f>
        <v>Pass</v>
      </c>
      <c r="Q299" s="11" t="str">
        <f>LOOKUP(D299,Settings!$A$19:$A$23,Settings!$B$19:$B$23)</f>
        <v>20+ hrs</v>
      </c>
      <c r="R299" s="11" t="str">
        <f>LOOKUP(E299,Settings!$A$28:$A$31,Settings!$B$28:$B$31)</f>
        <v>75 to 84%</v>
      </c>
      <c r="S299" s="11" t="str">
        <f>IF(OR(N299&lt;Settings!$B$4,E299&lt;Settings!$B$5),"Yes","No")</f>
        <v>No</v>
      </c>
      <c r="T299" s="11">
        <f>RANK(N299,$N$2:$N$301,0)+COUNTIF($N$2:N299,N299)-1</f>
        <v>23</v>
      </c>
    </row>
    <row r="300" spans="1:20" x14ac:dyDescent="0.3">
      <c r="A300" s="24" t="s">
        <v>406</v>
      </c>
      <c r="B300" s="24" t="s">
        <v>46</v>
      </c>
      <c r="C300" s="24" t="s">
        <v>59</v>
      </c>
      <c r="D300" s="25">
        <v>6.8</v>
      </c>
      <c r="E300" s="24">
        <v>80</v>
      </c>
      <c r="F300" s="24" t="s">
        <v>62</v>
      </c>
      <c r="G300" s="24" t="s">
        <v>67</v>
      </c>
      <c r="H300" s="24" t="s">
        <v>67</v>
      </c>
      <c r="I300" s="24">
        <v>60</v>
      </c>
      <c r="J300" s="24">
        <v>59</v>
      </c>
      <c r="K300" s="24">
        <v>54</v>
      </c>
      <c r="L300" s="24">
        <v>63</v>
      </c>
      <c r="M300" s="24">
        <v>58</v>
      </c>
      <c r="N300" s="26">
        <f t="shared" si="4"/>
        <v>58.8</v>
      </c>
      <c r="O300" s="11" t="str">
        <f>LOOKUP(N300,Settings!$A$10:$A$14,Settings!$B$10:$B$14)</f>
        <v>D</v>
      </c>
      <c r="P300" s="11" t="str">
        <f>IF(N300&gt;=Settings!$B$3,"Pass","Fail")</f>
        <v>Pass</v>
      </c>
      <c r="Q300" s="11" t="str">
        <f>LOOKUP(D300,Settings!$A$19:$A$23,Settings!$B$19:$B$23)</f>
        <v>5 to 9 hrs</v>
      </c>
      <c r="R300" s="11" t="str">
        <f>LOOKUP(E300,Settings!$A$28:$A$31,Settings!$B$28:$B$31)</f>
        <v>75 to 84%</v>
      </c>
      <c r="S300" s="11" t="str">
        <f>IF(OR(N300&lt;Settings!$B$4,E300&lt;Settings!$B$5),"Yes","No")</f>
        <v>No</v>
      </c>
      <c r="T300" s="11">
        <f>RANK(N300,$N$2:$N$301,0)+COUNTIF($N$2:N300,N300)-1</f>
        <v>190</v>
      </c>
    </row>
    <row r="301" spans="1:20" x14ac:dyDescent="0.3">
      <c r="A301" s="24" t="s">
        <v>407</v>
      </c>
      <c r="B301" s="24" t="s">
        <v>46</v>
      </c>
      <c r="C301" s="24" t="s">
        <v>58</v>
      </c>
      <c r="D301" s="25">
        <v>12.4</v>
      </c>
      <c r="E301" s="24">
        <v>77</v>
      </c>
      <c r="F301" s="24" t="s">
        <v>63</v>
      </c>
      <c r="G301" s="24" t="s">
        <v>68</v>
      </c>
      <c r="H301" s="24" t="s">
        <v>68</v>
      </c>
      <c r="I301" s="24">
        <v>70</v>
      </c>
      <c r="J301" s="24">
        <v>75</v>
      </c>
      <c r="K301" s="24">
        <v>63</v>
      </c>
      <c r="L301" s="24">
        <v>61</v>
      </c>
      <c r="M301" s="24">
        <v>68</v>
      </c>
      <c r="N301" s="26">
        <f t="shared" si="4"/>
        <v>67.400000000000006</v>
      </c>
      <c r="O301" s="11" t="str">
        <f>LOOKUP(N301,Settings!$A$10:$A$14,Settings!$B$10:$B$14)</f>
        <v>C</v>
      </c>
      <c r="P301" s="11" t="str">
        <f>IF(N301&gt;=Settings!$B$3,"Pass","Fail")</f>
        <v>Pass</v>
      </c>
      <c r="Q301" s="11" t="str">
        <f>LOOKUP(D301,Settings!$A$19:$A$23,Settings!$B$19:$B$23)</f>
        <v>10 to 14 hrs</v>
      </c>
      <c r="R301" s="11" t="str">
        <f>LOOKUP(E301,Settings!$A$28:$A$31,Settings!$B$28:$B$31)</f>
        <v>75 to 84%</v>
      </c>
      <c r="S301" s="11" t="str">
        <f>IF(OR(N301&lt;Settings!$B$4,E301&lt;Settings!$B$5),"Yes","No")</f>
        <v>No</v>
      </c>
      <c r="T301" s="11">
        <f>RANK(N301,$N$2:$N$301,0)+COUNTIF($N$2:N301,N301)-1</f>
        <v>86</v>
      </c>
    </row>
  </sheetData>
  <autoFilter ref="A1:T301" xr:uid="{00000000-0009-0000-0000-000004000000}"/>
  <conditionalFormatting sqref="P2:P301">
    <cfRule type="cellIs" dxfId="1" priority="2" operator="equal">
      <formula>"Fail"</formula>
    </cfRule>
  </conditionalFormatting>
  <conditionalFormatting sqref="S2:S301">
    <cfRule type="cellIs" dxfId="0" priority="3" operator="equal">
      <formula>"Yes"</formula>
    </cfRule>
  </conditionalFormatting>
  <conditionalFormatting sqref="N2:N3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5">
    <dataValidation type="list" allowBlank="1" sqref="B2:B1000" xr:uid="{00000000-0002-0000-0400-000000000000}">
      <formula1>"Female,Male"</formula1>
      <formula2>0</formula2>
    </dataValidation>
    <dataValidation type="list" allowBlank="1" sqref="G2:H1000" xr:uid="{00000000-0002-0000-0400-000001000000}">
      <formula1>"Yes,No"</formula1>
      <formula2>0</formula2>
    </dataValidation>
    <dataValidation type="list" allowBlank="1" sqref="C2:C1000" xr:uid="{00000000-0002-0000-0400-000002000000}">
      <formula1>"Grade 10,Grade 11,Grade 12"</formula1>
      <formula2>0</formula2>
    </dataValidation>
    <dataValidation type="list" allowBlank="1" sqref="F2:F1000" xr:uid="{00000000-0002-0000-0400-000003000000}">
      <formula1>"Basic,Secondary,Tertiary"</formula1>
      <formula2>0</formula2>
    </dataValidation>
    <dataValidation type="decimal" allowBlank="1" error="Scores and attendance must be between 0 and 100" sqref="E2:E1000 I2:M1000" xr:uid="{00000000-0002-0000-0400-000004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showGridLines="0" topLeftCell="A21" zoomScaleNormal="100" workbookViewId="0"/>
  </sheetViews>
  <sheetFormatPr defaultColWidth="8.6640625" defaultRowHeight="14.4" x14ac:dyDescent="0.3"/>
  <cols>
    <col min="1" max="1" width="34" customWidth="1"/>
    <col min="2" max="2" width="18" customWidth="1"/>
    <col min="3" max="3" width="70" customWidth="1"/>
  </cols>
  <sheetData>
    <row r="1" spans="1:3" ht="21" x14ac:dyDescent="0.4">
      <c r="A1" s="8" t="s">
        <v>408</v>
      </c>
    </row>
    <row r="2" spans="1:3" x14ac:dyDescent="0.3">
      <c r="A2" s="7" t="s">
        <v>409</v>
      </c>
    </row>
    <row r="3" spans="1:3" x14ac:dyDescent="0.3">
      <c r="A3" s="11" t="s">
        <v>410</v>
      </c>
      <c r="B3" s="27">
        <v>50</v>
      </c>
      <c r="C3" s="7" t="s">
        <v>411</v>
      </c>
    </row>
    <row r="4" spans="1:3" x14ac:dyDescent="0.3">
      <c r="A4" s="11" t="s">
        <v>412</v>
      </c>
      <c r="B4" s="27">
        <v>55</v>
      </c>
      <c r="C4" s="7" t="s">
        <v>413</v>
      </c>
    </row>
    <row r="5" spans="1:3" x14ac:dyDescent="0.3">
      <c r="A5" s="11" t="s">
        <v>414</v>
      </c>
      <c r="B5" s="27">
        <v>75</v>
      </c>
      <c r="C5" s="7" t="s">
        <v>415</v>
      </c>
    </row>
    <row r="8" spans="1:3" ht="15.6" x14ac:dyDescent="0.3">
      <c r="A8" s="9" t="s">
        <v>416</v>
      </c>
    </row>
    <row r="9" spans="1:3" x14ac:dyDescent="0.3">
      <c r="A9" s="16" t="s">
        <v>417</v>
      </c>
      <c r="B9" s="16" t="s">
        <v>418</v>
      </c>
    </row>
    <row r="10" spans="1:3" x14ac:dyDescent="0.3">
      <c r="A10" s="27">
        <v>0</v>
      </c>
      <c r="B10" s="27" t="s">
        <v>419</v>
      </c>
    </row>
    <row r="11" spans="1:3" x14ac:dyDescent="0.3">
      <c r="A11" s="27">
        <v>50</v>
      </c>
      <c r="B11" s="27" t="s">
        <v>420</v>
      </c>
    </row>
    <row r="12" spans="1:3" x14ac:dyDescent="0.3">
      <c r="A12" s="27">
        <v>60</v>
      </c>
      <c r="B12" s="27" t="s">
        <v>421</v>
      </c>
    </row>
    <row r="13" spans="1:3" x14ac:dyDescent="0.3">
      <c r="A13" s="27">
        <v>70</v>
      </c>
      <c r="B13" s="27" t="s">
        <v>422</v>
      </c>
    </row>
    <row r="14" spans="1:3" x14ac:dyDescent="0.3">
      <c r="A14" s="27">
        <v>80</v>
      </c>
      <c r="B14" s="27" t="s">
        <v>423</v>
      </c>
    </row>
    <row r="15" spans="1:3" x14ac:dyDescent="0.3">
      <c r="A15" s="7" t="s">
        <v>424</v>
      </c>
    </row>
    <row r="17" spans="1:2" ht="15.6" x14ac:dyDescent="0.3">
      <c r="A17" s="9" t="s">
        <v>425</v>
      </c>
    </row>
    <row r="18" spans="1:2" x14ac:dyDescent="0.3">
      <c r="A18" s="16" t="s">
        <v>426</v>
      </c>
      <c r="B18" s="16" t="s">
        <v>427</v>
      </c>
    </row>
    <row r="19" spans="1:2" x14ac:dyDescent="0.3">
      <c r="A19" s="27">
        <v>0</v>
      </c>
      <c r="B19" s="27" t="s">
        <v>428</v>
      </c>
    </row>
    <row r="20" spans="1:2" x14ac:dyDescent="0.3">
      <c r="A20" s="27">
        <v>5</v>
      </c>
      <c r="B20" s="27" t="s">
        <v>429</v>
      </c>
    </row>
    <row r="21" spans="1:2" x14ac:dyDescent="0.3">
      <c r="A21" s="27">
        <v>10</v>
      </c>
      <c r="B21" s="27" t="s">
        <v>430</v>
      </c>
    </row>
    <row r="22" spans="1:2" x14ac:dyDescent="0.3">
      <c r="A22" s="27">
        <v>15</v>
      </c>
      <c r="B22" s="27" t="s">
        <v>431</v>
      </c>
    </row>
    <row r="23" spans="1:2" x14ac:dyDescent="0.3">
      <c r="A23" s="27">
        <v>20</v>
      </c>
      <c r="B23" s="27" t="s">
        <v>432</v>
      </c>
    </row>
    <row r="24" spans="1:2" x14ac:dyDescent="0.3">
      <c r="A24" s="7" t="s">
        <v>433</v>
      </c>
    </row>
    <row r="26" spans="1:2" ht="15.6" x14ac:dyDescent="0.3">
      <c r="A26" s="9" t="s">
        <v>434</v>
      </c>
    </row>
    <row r="27" spans="1:2" x14ac:dyDescent="0.3">
      <c r="A27" s="16" t="s">
        <v>435</v>
      </c>
      <c r="B27" s="16" t="s">
        <v>427</v>
      </c>
    </row>
    <row r="28" spans="1:2" x14ac:dyDescent="0.3">
      <c r="A28" s="27">
        <v>0</v>
      </c>
      <c r="B28" s="27" t="s">
        <v>436</v>
      </c>
    </row>
    <row r="29" spans="1:2" x14ac:dyDescent="0.3">
      <c r="A29" s="27">
        <v>75</v>
      </c>
      <c r="B29" s="27" t="s">
        <v>437</v>
      </c>
    </row>
    <row r="30" spans="1:2" x14ac:dyDescent="0.3">
      <c r="A30" s="27">
        <v>85</v>
      </c>
      <c r="B30" s="27" t="s">
        <v>438</v>
      </c>
    </row>
    <row r="31" spans="1:2" x14ac:dyDescent="0.3">
      <c r="A31" s="27">
        <v>95</v>
      </c>
      <c r="B31" s="27" t="s">
        <v>439</v>
      </c>
    </row>
    <row r="32" spans="1:2" x14ac:dyDescent="0.3">
      <c r="A32" s="7" t="s">
        <v>433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showGridLines="0" tabSelected="1" topLeftCell="C1" zoomScaleNormal="100" workbookViewId="0"/>
  </sheetViews>
  <sheetFormatPr defaultColWidth="8.6640625" defaultRowHeight="14.4" x14ac:dyDescent="0.3"/>
  <cols>
    <col min="1" max="1" width="38" customWidth="1"/>
    <col min="2" max="2" width="10" customWidth="1"/>
    <col min="3" max="3" width="65" customWidth="1"/>
    <col min="4" max="4" width="10" customWidth="1"/>
  </cols>
  <sheetData>
    <row r="1" spans="1:4" ht="21" x14ac:dyDescent="0.4">
      <c r="A1" s="8" t="s">
        <v>440</v>
      </c>
    </row>
    <row r="3" spans="1:4" x14ac:dyDescent="0.3">
      <c r="A3" s="16" t="s">
        <v>441</v>
      </c>
      <c r="B3" s="16" t="s">
        <v>442</v>
      </c>
      <c r="C3" s="16" t="s">
        <v>443</v>
      </c>
      <c r="D3" s="16" t="s">
        <v>444</v>
      </c>
    </row>
    <row r="4" spans="1:4" x14ac:dyDescent="0.3">
      <c r="A4" s="28" t="s">
        <v>96</v>
      </c>
      <c r="B4" s="28" t="s">
        <v>445</v>
      </c>
      <c r="C4" s="28" t="s">
        <v>446</v>
      </c>
      <c r="D4" s="28" t="s">
        <v>447</v>
      </c>
    </row>
    <row r="5" spans="1:4" x14ac:dyDescent="0.3">
      <c r="A5" s="28" t="s">
        <v>49</v>
      </c>
      <c r="B5" s="28" t="s">
        <v>445</v>
      </c>
      <c r="C5" s="28" t="s">
        <v>448</v>
      </c>
      <c r="D5" s="28" t="s">
        <v>447</v>
      </c>
    </row>
    <row r="6" spans="1:4" x14ac:dyDescent="0.3">
      <c r="A6" s="28" t="s">
        <v>97</v>
      </c>
      <c r="B6" s="28" t="s">
        <v>445</v>
      </c>
      <c r="C6" s="28" t="s">
        <v>449</v>
      </c>
      <c r="D6" s="28" t="s">
        <v>447</v>
      </c>
    </row>
    <row r="7" spans="1:4" x14ac:dyDescent="0.3">
      <c r="A7" s="28" t="s">
        <v>98</v>
      </c>
      <c r="B7" s="28" t="s">
        <v>450</v>
      </c>
      <c r="C7" s="28" t="s">
        <v>451</v>
      </c>
      <c r="D7" s="28" t="s">
        <v>447</v>
      </c>
    </row>
    <row r="8" spans="1:4" x14ac:dyDescent="0.3">
      <c r="A8" s="28" t="s">
        <v>99</v>
      </c>
      <c r="B8" s="28" t="s">
        <v>450</v>
      </c>
      <c r="C8" s="28" t="s">
        <v>452</v>
      </c>
      <c r="D8" s="28" t="s">
        <v>447</v>
      </c>
    </row>
    <row r="9" spans="1:4" x14ac:dyDescent="0.3">
      <c r="A9" s="28" t="s">
        <v>100</v>
      </c>
      <c r="B9" s="28" t="s">
        <v>445</v>
      </c>
      <c r="C9" s="28" t="s">
        <v>453</v>
      </c>
      <c r="D9" s="28" t="s">
        <v>447</v>
      </c>
    </row>
    <row r="10" spans="1:4" x14ac:dyDescent="0.3">
      <c r="A10" s="28" t="s">
        <v>101</v>
      </c>
      <c r="B10" s="28" t="s">
        <v>445</v>
      </c>
      <c r="C10" s="28" t="s">
        <v>454</v>
      </c>
      <c r="D10" s="28" t="s">
        <v>447</v>
      </c>
    </row>
    <row r="11" spans="1:4" x14ac:dyDescent="0.3">
      <c r="A11" s="28" t="s">
        <v>102</v>
      </c>
      <c r="B11" s="28" t="s">
        <v>445</v>
      </c>
      <c r="C11" s="28" t="s">
        <v>455</v>
      </c>
      <c r="D11" s="28" t="s">
        <v>447</v>
      </c>
    </row>
    <row r="12" spans="1:4" x14ac:dyDescent="0.3">
      <c r="A12" s="28" t="s">
        <v>456</v>
      </c>
      <c r="B12" s="28" t="s">
        <v>450</v>
      </c>
      <c r="C12" s="28" t="s">
        <v>457</v>
      </c>
      <c r="D12" s="28" t="s">
        <v>447</v>
      </c>
    </row>
    <row r="13" spans="1:4" x14ac:dyDescent="0.3">
      <c r="A13" s="28" t="s">
        <v>35</v>
      </c>
      <c r="B13" s="28" t="s">
        <v>450</v>
      </c>
      <c r="C13" s="28" t="s">
        <v>458</v>
      </c>
      <c r="D13" s="28" t="s">
        <v>459</v>
      </c>
    </row>
    <row r="14" spans="1:4" x14ac:dyDescent="0.3">
      <c r="A14" s="28" t="s">
        <v>103</v>
      </c>
      <c r="B14" s="28" t="s">
        <v>445</v>
      </c>
      <c r="C14" s="28" t="s">
        <v>460</v>
      </c>
      <c r="D14" s="28" t="s">
        <v>459</v>
      </c>
    </row>
    <row r="15" spans="1:4" x14ac:dyDescent="0.3">
      <c r="A15" s="28" t="s">
        <v>104</v>
      </c>
      <c r="B15" s="28" t="s">
        <v>445</v>
      </c>
      <c r="C15" s="28" t="s">
        <v>461</v>
      </c>
      <c r="D15" s="28" t="s">
        <v>459</v>
      </c>
    </row>
    <row r="16" spans="1:4" x14ac:dyDescent="0.3">
      <c r="A16" s="28" t="s">
        <v>105</v>
      </c>
      <c r="B16" s="28" t="s">
        <v>445</v>
      </c>
      <c r="C16" s="28" t="s">
        <v>462</v>
      </c>
      <c r="D16" s="28" t="s">
        <v>459</v>
      </c>
    </row>
    <row r="17" spans="1:4" x14ac:dyDescent="0.3">
      <c r="A17" s="28" t="s">
        <v>106</v>
      </c>
      <c r="B17" s="28" t="s">
        <v>445</v>
      </c>
      <c r="C17" s="28" t="s">
        <v>463</v>
      </c>
      <c r="D17" s="28" t="s">
        <v>459</v>
      </c>
    </row>
    <row r="18" spans="1:4" x14ac:dyDescent="0.3">
      <c r="A18" s="28" t="s">
        <v>107</v>
      </c>
      <c r="B18" s="28" t="s">
        <v>445</v>
      </c>
      <c r="C18" s="28" t="s">
        <v>464</v>
      </c>
      <c r="D18" s="28" t="s">
        <v>459</v>
      </c>
    </row>
    <row r="19" spans="1:4" x14ac:dyDescent="0.3">
      <c r="A19" s="28" t="s">
        <v>89</v>
      </c>
      <c r="B19" s="28" t="s">
        <v>450</v>
      </c>
      <c r="C19" s="28" t="s">
        <v>465</v>
      </c>
      <c r="D19" s="28" t="s">
        <v>459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Insights</vt:lpstr>
      <vt:lpstr>Dashboard</vt:lpstr>
      <vt:lpstr>Analysis</vt:lpstr>
      <vt:lpstr>Top_Bottom</vt:lpstr>
      <vt:lpstr>Data</vt:lpstr>
      <vt:lpstr>Settings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New Owner</cp:lastModifiedBy>
  <cp:revision>1</cp:revision>
  <dcterms:created xsi:type="dcterms:W3CDTF">2026-10-09T12:30:51Z</dcterms:created>
  <dcterms:modified xsi:type="dcterms:W3CDTF">2026-10-09T15:37:12Z</dcterms:modified>
  <dc:language>en-US</dc:language>
</cp:coreProperties>
</file>